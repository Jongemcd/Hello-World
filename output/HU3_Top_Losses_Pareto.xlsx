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3" sheetId="1" state="visible" r:id="rId1"/>
    <sheet name="MI_Cap Analysis Reason_Sub" sheetId="2" state="visible" r:id="rId2"/>
    <sheet name="HU3 All Los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vertical="top" wrapText="1"/>
    </xf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(all data)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'HU3'!C3</f>
            </strRef>
          </tx>
          <spPr>
            <a:ln>
              <a:prstDash val="solid"/>
            </a:ln>
          </spPr>
          <cat>
            <numRef>
              <f>'HU3'!$A$4:$A$21</f>
            </numRef>
          </cat>
          <val>
            <numRef>
              <f>'HU3'!$C$4:$C$21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'HU3'!D3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'HU3'!$D$4:$D$21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(Cap Analysis Reason / Sub)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'MI_Cap Analysis Reason_Sub'!B3</f>
            </strRef>
          </tx>
          <spPr>
            <a:ln>
              <a:prstDash val="solid"/>
            </a:ln>
          </spPr>
          <cat>
            <numRef>
              <f>'MI_Cap Analysis Reason_Sub'!$A$4:$A$20</f>
            </numRef>
          </cat>
          <val>
            <numRef>
              <f>'MI_Cap Analysis Reason_Sub'!$B$4:$B$20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'MI_Cap Analysis Reason_Sub'!C3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'MI_Cap Analysis Reason_Sub'!$C$4:$C$20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1" t="inlineStr">
        <is>
          <t>HU3 - Ballina - Top Losses (all data)</t>
        </is>
      </c>
    </row>
    <row r="3" ht="45" customHeight="1">
      <c r="A3" s="2" t="inlineStr">
        <is>
          <t>Loss</t>
        </is>
      </c>
      <c r="B3" s="2" t="inlineStr">
        <is>
          <t>Hours</t>
        </is>
      </c>
      <c r="C3" s="2" t="inlineStr">
        <is>
          <t>% of Total Time</t>
        </is>
      </c>
      <c r="D3" s="2" t="inlineStr">
        <is>
          <t>Cumulative % (to Perfect Performance)</t>
        </is>
      </c>
      <c r="E3" s="2" t="inlineStr">
        <is>
          <t>Comment</t>
        </is>
      </c>
    </row>
    <row r="4">
      <c r="A4" s="3" t="inlineStr">
        <is>
          <t>OEE - Running / Baseline</t>
        </is>
      </c>
      <c r="B4" s="4" t="n">
        <v>1384.0189275</v>
      </c>
      <c r="C4" s="5">
        <f>B4/B22</f>
        <v/>
      </c>
      <c r="D4" s="5">
        <f>C4</f>
        <v/>
      </c>
      <c r="E4" s="3" t="inlineStr">
        <is>
          <t>Baseline</t>
        </is>
      </c>
    </row>
    <row r="5">
      <c r="A5" s="6" t="inlineStr">
        <is>
          <t>Shutdown / no production (&gt;24 h)</t>
        </is>
      </c>
      <c r="B5" s="7" t="n">
        <v>849.7394888888889</v>
      </c>
      <c r="C5" s="8">
        <f>B5/$B$22</f>
        <v/>
      </c>
      <c r="D5" s="8">
        <f>D4+C5</f>
        <v/>
      </c>
      <c r="E5" s="6" t="n"/>
    </row>
    <row r="6">
      <c r="A6" s="6" t="inlineStr">
        <is>
          <t>Warning_0014 - A stop button has been pressed too long</t>
        </is>
      </c>
      <c r="B6" s="7" t="n">
        <v>445.6431844444444</v>
      </c>
      <c r="C6" s="8">
        <f>B6/$B$22</f>
        <v/>
      </c>
      <c r="D6" s="8">
        <f>D5+C6</f>
        <v/>
      </c>
      <c r="E6" s="6" t="n"/>
    </row>
    <row r="7">
      <c r="A7" s="6" t="inlineStr">
        <is>
          <t>Alarm_0164 - 1A07-1B1 Main air valve basic machine pressure not present</t>
        </is>
      </c>
      <c r="B7" s="7" t="n">
        <v>211.5911877777778</v>
      </c>
      <c r="C7" s="8">
        <f>B7/$B$22</f>
        <v/>
      </c>
      <c r="D7" s="8">
        <f>D6+C7</f>
        <v/>
      </c>
      <c r="E7" s="6" t="n"/>
    </row>
    <row r="8">
      <c r="A8" s="6" t="inlineStr">
        <is>
          <t>Alarm_0249 - MSM-Bulge A: At least one station takes longer than maximum allowed</t>
        </is>
      </c>
      <c r="B8" s="7" t="n">
        <v>172.7280694444445</v>
      </c>
      <c r="C8" s="8">
        <f>B8/$B$22</f>
        <v/>
      </c>
      <c r="D8" s="8">
        <f>D7+C8</f>
        <v/>
      </c>
      <c r="E8" s="6" t="n"/>
    </row>
    <row r="9">
      <c r="A9" s="6" t="inlineStr">
        <is>
          <t>No reason code (untagged)</t>
        </is>
      </c>
      <c r="B9" s="7" t="n">
        <v>146.9006933333333</v>
      </c>
      <c r="C9" s="8">
        <f>B9/$B$22</f>
        <v/>
      </c>
      <c r="D9" s="8">
        <f>D8+C9</f>
        <v/>
      </c>
      <c r="E9" s="6" t="n"/>
    </row>
    <row r="10">
      <c r="A10" s="6" t="inlineStr">
        <is>
          <t>Alarm_0044 - The machine empty run is finished</t>
        </is>
      </c>
      <c r="B10" s="7" t="n">
        <v>87.44423972222222</v>
      </c>
      <c r="C10" s="8">
        <f>B10/$B$22</f>
        <v/>
      </c>
      <c r="D10" s="8">
        <f>D9+C10</f>
        <v/>
      </c>
      <c r="E10" s="6" t="n"/>
    </row>
    <row r="11">
      <c r="A11" s="6" t="inlineStr">
        <is>
          <t>Alarm_0093 - System error of an axis, see fault message list</t>
        </is>
      </c>
      <c r="B11" s="7" t="n">
        <v>61.95971138888888</v>
      </c>
      <c r="C11" s="8">
        <f>B11/$B$22</f>
        <v/>
      </c>
      <c r="D11" s="8">
        <f>D10+C11</f>
        <v/>
      </c>
      <c r="E11" s="6" t="n"/>
    </row>
    <row r="12">
      <c r="A12" s="6" t="inlineStr">
        <is>
          <t>Alarm_0016 - The start of the machine is locked by the HMI</t>
        </is>
      </c>
      <c r="B12" s="7" t="n">
        <v>58.81900888888889</v>
      </c>
      <c r="C12" s="8">
        <f>B12/$B$22</f>
        <v/>
      </c>
      <c r="D12" s="8">
        <f>D11+C12</f>
        <v/>
      </c>
      <c r="E12" s="6" t="n"/>
    </row>
    <row r="13">
      <c r="A13" s="6" t="inlineStr">
        <is>
          <t>Alarm_1678 - 1211-2B1 Limit switch fault Fork B in working position</t>
        </is>
      </c>
      <c r="B13" s="7" t="n">
        <v>58.36897694444444</v>
      </c>
      <c r="C13" s="8">
        <f>B13/$B$22</f>
        <v/>
      </c>
      <c r="D13" s="8">
        <f>D12+C13</f>
        <v/>
      </c>
      <c r="E13" s="6" t="n"/>
    </row>
    <row r="14">
      <c r="A14" s="6" t="inlineStr">
        <is>
          <t>Alarm_0732 - 1050-2K1 Hot printer A not ready for operation</t>
        </is>
      </c>
      <c r="B14" s="7" t="n">
        <v>52.94320388888889</v>
      </c>
      <c r="C14" s="8">
        <f>B14/$B$22</f>
        <v/>
      </c>
      <c r="D14" s="8">
        <f>D13+C14</f>
        <v/>
      </c>
      <c r="E14" s="6" t="n"/>
    </row>
    <row r="15">
      <c r="A15" s="6" t="inlineStr">
        <is>
          <t>Alarm_1331 - 1150 End of reel</t>
        </is>
      </c>
      <c r="B15" s="7" t="n">
        <v>46.62584638888889</v>
      </c>
      <c r="C15" s="8">
        <f>B15/$B$22</f>
        <v/>
      </c>
      <c r="D15" s="8">
        <f>D14+C15</f>
        <v/>
      </c>
      <c r="E15" s="6" t="n"/>
    </row>
    <row r="16">
      <c r="A16" s="6" t="inlineStr">
        <is>
          <t>Alarm_1872 - 1406-6B2 Valve in pickup position B not present</t>
        </is>
      </c>
      <c r="B16" s="7" t="n">
        <v>44.29508694444444</v>
      </c>
      <c r="C16" s="8">
        <f>B16/$B$22</f>
        <v/>
      </c>
      <c r="D16" s="8">
        <f>D15+C16</f>
        <v/>
      </c>
      <c r="E16" s="6" t="n"/>
    </row>
    <row r="17">
      <c r="A17" s="6" t="inlineStr">
        <is>
          <t>Alarm_1871 - 1406-6B1 Valve in pickup position A not present</t>
        </is>
      </c>
      <c r="B17" s="7" t="n">
        <v>43.34707138888889</v>
      </c>
      <c r="C17" s="8">
        <f>B17/$B$22</f>
        <v/>
      </c>
      <c r="D17" s="8">
        <f>D16+C17</f>
        <v/>
      </c>
      <c r="E17" s="6" t="n"/>
    </row>
    <row r="18">
      <c r="A18" s="6" t="inlineStr">
        <is>
          <t>Alarm_1343 - 1151 End of reel</t>
        </is>
      </c>
      <c r="B18" s="7" t="n">
        <v>41.18845694444445</v>
      </c>
      <c r="C18" s="8">
        <f>B18/$B$22</f>
        <v/>
      </c>
      <c r="D18" s="8">
        <f>D17+C18</f>
        <v/>
      </c>
      <c r="E18" s="6" t="n"/>
    </row>
    <row r="19">
      <c r="A19" s="6" t="inlineStr">
        <is>
          <t>Alarm_1657 - 1210-2B1 Limit switch fault Fork A in working position</t>
        </is>
      </c>
      <c r="B19" s="7" t="n">
        <v>40.44950555555555</v>
      </c>
      <c r="C19" s="8">
        <f>B19/$B$22</f>
        <v/>
      </c>
      <c r="D19" s="8">
        <f>D18+C19</f>
        <v/>
      </c>
      <c r="E19" s="6" t="n"/>
    </row>
    <row r="20">
      <c r="A20" s="6" t="inlineStr">
        <is>
          <t>Fault_0268 - 1A02-5T2 Battery in external UPS must be checked</t>
        </is>
      </c>
      <c r="B20" s="7" t="n">
        <v>32.07832166666667</v>
      </c>
      <c r="C20" s="8">
        <f>B20/$B$22</f>
        <v/>
      </c>
      <c r="D20" s="8">
        <f>D19+C20</f>
        <v/>
      </c>
      <c r="E20" s="6" t="n"/>
    </row>
    <row r="21">
      <c r="A21" s="6" t="inlineStr">
        <is>
          <t>Other (511 smaller losses)</t>
        </is>
      </c>
      <c r="B21" s="7" t="n">
        <v>615.9460725000005</v>
      </c>
      <c r="C21" s="8">
        <f>B21/$B$22</f>
        <v/>
      </c>
      <c r="D21" s="8">
        <f>D20+C21</f>
        <v/>
      </c>
      <c r="E21" s="6" t="n"/>
    </row>
    <row r="22">
      <c r="A22" s="3" t="inlineStr">
        <is>
          <t>Perfect Performance</t>
        </is>
      </c>
      <c r="B22" s="4">
        <f>SUM(B4:B21)</f>
        <v/>
      </c>
      <c r="C22" s="5">
        <f>SUM(C4:C21)</f>
        <v/>
      </c>
      <c r="D22" s="5">
        <f>D21</f>
        <v/>
      </c>
      <c r="E22" s="3" t="n"/>
    </row>
    <row r="24">
      <c r="A24" s="9" t="inlineStr">
        <is>
          <t>Source: HU3 tab (machine status log, 16 Mar 2026 - 15 Sep 2026, 100,000 events). Each event lasts until the next one; stopped time (MachineStatus=0) is grouped by OEE reason code. Total time 4,394 h. The two long stops (~474 h from 07 Aug and ~376 h from 27 Aug, no reason code, likely shutdown or no production) are shown separately as "Shutdown / no production (&gt;24 h)" so they do not distort the real losses. Other stops of 24-49 h that carry a reason code are left in their own reason codes; the 15 losses below it are ranked excluding that row.</t>
        </is>
      </c>
    </row>
    <row r="25"/>
    <row r="26"/>
  </sheetData>
  <mergeCells count="2">
    <mergeCell ref="A1:E1"/>
    <mergeCell ref="A24:E2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30" customWidth="1" min="4" max="4"/>
  </cols>
  <sheetData>
    <row r="1">
      <c r="A1" s="1" t="inlineStr">
        <is>
          <t>HU3 - Ballina - Top Losses (Cap Analysis Reason / Sub)</t>
        </is>
      </c>
    </row>
    <row r="3" ht="45" customHeight="1">
      <c r="A3" s="2" t="inlineStr">
        <is>
          <t>Loss</t>
        </is>
      </c>
      <c r="B3" s="2" t="inlineStr">
        <is>
          <t>% of Total Time</t>
        </is>
      </c>
      <c r="C3" s="2" t="inlineStr">
        <is>
          <t>Cumulative % (to Perfect Performance)</t>
        </is>
      </c>
      <c r="D3" s="2" t="inlineStr">
        <is>
          <t>Comment</t>
        </is>
      </c>
    </row>
    <row r="4">
      <c r="A4" s="3" t="inlineStr">
        <is>
          <t>OEE - Running / Baseline</t>
        </is>
      </c>
      <c r="B4" s="5" t="n">
        <v>0.3944</v>
      </c>
      <c r="C4" s="5">
        <f>B4</f>
        <v/>
      </c>
      <c r="D4" s="3" t="inlineStr">
        <is>
          <t>Baseline</t>
        </is>
      </c>
    </row>
    <row r="5">
      <c r="A5" s="6" t="inlineStr">
        <is>
          <t>Mech/Elec Breakdown | Electrical | 1A02-5T2: Check UPS</t>
        </is>
      </c>
      <c r="B5" s="8" t="n">
        <v>0.0984</v>
      </c>
      <c r="C5" s="8">
        <f>C4+B5</f>
        <v/>
      </c>
      <c r="D5" s="6" t="n"/>
    </row>
    <row r="6">
      <c r="A6" s="6" t="inlineStr">
        <is>
          <t>Mech/Elec Breakdown | General Fault | Mechanical</t>
        </is>
      </c>
      <c r="B6" s="8" t="n">
        <v>0.08749999999999999</v>
      </c>
      <c r="C6" s="8">
        <f>C5+B6</f>
        <v/>
      </c>
      <c r="D6" s="6" t="n"/>
    </row>
    <row r="7">
      <c r="A7" s="6" t="inlineStr">
        <is>
          <t>Performance Loss</t>
        </is>
      </c>
      <c r="B7" s="8" t="n">
        <v>0.06519999999999999</v>
      </c>
      <c r="C7" s="8">
        <f>C6+B7</f>
        <v/>
      </c>
      <c r="D7" s="6" t="n"/>
    </row>
    <row r="8">
      <c r="A8" s="6" t="inlineStr">
        <is>
          <t>Planned Loss | No Demand</t>
        </is>
      </c>
      <c r="B8" s="8" t="n">
        <v>0.0622</v>
      </c>
      <c r="C8" s="8">
        <f>C7+B8</f>
        <v/>
      </c>
      <c r="D8" s="6" t="n"/>
    </row>
    <row r="9">
      <c r="A9" s="6" t="inlineStr">
        <is>
          <t>Mech/Elec Breakdown | Electrical | 1A02-21T2: Check UP</t>
        </is>
      </c>
      <c r="B9" s="8" t="n">
        <v>0.0374</v>
      </c>
      <c r="C9" s="8">
        <f>C8+B9</f>
        <v/>
      </c>
      <c r="D9" s="6" t="n"/>
    </row>
    <row r="10">
      <c r="A10" s="6" t="inlineStr">
        <is>
          <t>Major Downtime</t>
        </is>
      </c>
      <c r="B10" s="8" t="n">
        <v>0.0316</v>
      </c>
      <c r="C10" s="8">
        <f>C9+B10</f>
        <v/>
      </c>
      <c r="D10" s="6" t="n"/>
    </row>
    <row r="11">
      <c r="A11" s="6" t="inlineStr">
        <is>
          <t>Mech/Elec Breakdown | Electrical | 1A02-11T2: Check UP</t>
        </is>
      </c>
      <c r="B11" s="8" t="n">
        <v>0.0305</v>
      </c>
      <c r="C11" s="8">
        <f>C10+B11</f>
        <v/>
      </c>
      <c r="D11" s="6" t="n"/>
    </row>
    <row r="12">
      <c r="A12" s="6" t="inlineStr">
        <is>
          <t>Machine | Offload | 084-ConveyorReject</t>
        </is>
      </c>
      <c r="B12" s="8" t="n">
        <v>0.0298</v>
      </c>
      <c r="C12" s="8">
        <f>C11+B12</f>
        <v/>
      </c>
      <c r="D12" s="6" t="n"/>
    </row>
    <row r="13">
      <c r="A13" s="6" t="inlineStr">
        <is>
          <t>Machine | Valve Feed | 412 rejects Full</t>
        </is>
      </c>
      <c r="B13" s="8" t="n">
        <v>0.0241</v>
      </c>
      <c r="C13" s="8">
        <f>C12+B13</f>
        <v/>
      </c>
      <c r="D13" s="6" t="n"/>
    </row>
    <row r="14">
      <c r="A14" s="6" t="inlineStr">
        <is>
          <t>Mech/Elec Breakdown | General Fault | Controls</t>
        </is>
      </c>
      <c r="B14" s="8" t="n">
        <v>0.0207</v>
      </c>
      <c r="C14" s="8">
        <f>C13+B14</f>
        <v/>
      </c>
      <c r="D14" s="6" t="n"/>
    </row>
    <row r="15">
      <c r="A15" s="6" t="inlineStr">
        <is>
          <t>Quality Loss</t>
        </is>
      </c>
      <c r="B15" s="8" t="n">
        <v>0.0196</v>
      </c>
      <c r="C15" s="8">
        <f>C14+B15</f>
        <v/>
      </c>
      <c r="D15" s="6" t="n"/>
    </row>
    <row r="16">
      <c r="A16" s="6" t="inlineStr">
        <is>
          <t>Minor Downtime</t>
        </is>
      </c>
      <c r="B16" s="8" t="n">
        <v>0.0184</v>
      </c>
      <c r="C16" s="8">
        <f>C15+B16</f>
        <v/>
      </c>
      <c r="D16" s="6" t="n"/>
    </row>
    <row r="17">
      <c r="A17" s="6" t="inlineStr">
        <is>
          <t>Micro Stop</t>
        </is>
      </c>
      <c r="B17" s="8" t="n">
        <v>0.0049</v>
      </c>
      <c r="C17" s="8">
        <f>C16+B17</f>
        <v/>
      </c>
      <c r="D17" s="6" t="n"/>
    </row>
    <row r="18">
      <c r="A18" s="6" t="inlineStr">
        <is>
          <t>Machine | Periphery Seal | 076-14B1 FlowMonitor</t>
        </is>
      </c>
      <c r="B18" s="8" t="n">
        <v>0.0042</v>
      </c>
      <c r="C18" s="8">
        <f>C17+B18</f>
        <v/>
      </c>
      <c r="D18" s="6" t="n"/>
    </row>
    <row r="19">
      <c r="A19" s="6" t="inlineStr">
        <is>
          <t>Machine | Film/Fabric Feed | 147-1T1 Web guiding</t>
        </is>
      </c>
      <c r="B19" s="8" t="n">
        <v>0.0039</v>
      </c>
      <c r="C19" s="8">
        <f>C18+B19</f>
        <v/>
      </c>
      <c r="D19" s="6" t="n"/>
    </row>
    <row r="20">
      <c r="A20" s="6" t="inlineStr">
        <is>
          <t>Other (108 smaller losses)</t>
        </is>
      </c>
      <c r="B20" s="8" t="n">
        <v>0.0672</v>
      </c>
      <c r="C20" s="8">
        <f>C19+B20</f>
        <v/>
      </c>
      <c r="D20" s="6" t="n"/>
    </row>
    <row r="21">
      <c r="A21" s="3" t="inlineStr">
        <is>
          <t>Perfect Performance</t>
        </is>
      </c>
      <c r="B21" s="5">
        <f>SUM(B4:B20)</f>
        <v/>
      </c>
      <c r="C21" s="5">
        <f>C20</f>
        <v/>
      </c>
      <c r="D21" s="3" t="n"/>
    </row>
    <row r="23">
      <c r="A23" s="9" t="inlineStr">
        <is>
          <t>Source: MI_Cap Analysis Reason_Sub, 2026 YTD (% hours). Top 15 losses shown; remainder grouped as Other. Zero-value reasons excluded.</t>
        </is>
      </c>
    </row>
    <row r="24"/>
    <row r="25"/>
  </sheetData>
  <mergeCells count="2">
    <mergeCell ref="A1:D1"/>
    <mergeCell ref="A23:D2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2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t="inlineStr">
        <is>
          <t>Loss (reason code)</t>
        </is>
      </c>
      <c r="B1" s="10" t="inlineStr">
        <is>
          <t>Hours</t>
        </is>
      </c>
      <c r="C1" s="11" t="inlineStr">
        <is>
          <t>% of Total Time</t>
        </is>
      </c>
    </row>
    <row r="2">
      <c r="A2" t="inlineStr">
        <is>
          <t>Shutdown / no production (&gt;24 h)</t>
        </is>
      </c>
      <c r="B2" s="10" t="n">
        <v>849.7394888888889</v>
      </c>
      <c r="C2" s="11" t="n">
        <v>0.1933821883277152</v>
      </c>
    </row>
    <row r="3">
      <c r="A3" t="inlineStr">
        <is>
          <t>Warning_0014 - A stop button has been pressed too long</t>
        </is>
      </c>
      <c r="B3" s="10" t="n">
        <v>445.6431844444444</v>
      </c>
      <c r="C3" s="11" t="n">
        <v>0.1014186763685488</v>
      </c>
    </row>
    <row r="4">
      <c r="A4" t="inlineStr">
        <is>
          <t>Alarm_0164 - 1A07-1B1 Main air valve basic machine pressure not present</t>
        </is>
      </c>
      <c r="B4" s="10" t="n">
        <v>211.5911877777778</v>
      </c>
      <c r="C4" s="11" t="n">
        <v>0.04815354288975214</v>
      </c>
    </row>
    <row r="5">
      <c r="A5" t="inlineStr">
        <is>
          <t>Alarm_0249 - MSM-Bulge A: At least one station takes longer than maximum allowed</t>
        </is>
      </c>
      <c r="B5" s="10" t="n">
        <v>172.7280694444445</v>
      </c>
      <c r="C5" s="11" t="n">
        <v>0.03930914414541926</v>
      </c>
    </row>
    <row r="6">
      <c r="A6" t="inlineStr">
        <is>
          <t>No reason code (untagged)</t>
        </is>
      </c>
      <c r="B6" s="10" t="n">
        <v>146.9006933333333</v>
      </c>
      <c r="C6" s="11" t="n">
        <v>0.03343139622804231</v>
      </c>
    </row>
    <row r="7">
      <c r="A7" t="inlineStr">
        <is>
          <t>Alarm_0044 - The machine empty run is finished</t>
        </is>
      </c>
      <c r="B7" s="10" t="n">
        <v>87.44423972222222</v>
      </c>
      <c r="C7" s="11" t="n">
        <v>0.01990040318856807</v>
      </c>
    </row>
    <row r="8">
      <c r="A8" t="inlineStr">
        <is>
          <t>Alarm_0093 - System error of an axis, see fault message list</t>
        </is>
      </c>
      <c r="B8" s="10" t="n">
        <v>61.95971138888888</v>
      </c>
      <c r="C8" s="11" t="n">
        <v>0.01410067995334007</v>
      </c>
    </row>
    <row r="9">
      <c r="A9" t="inlineStr">
        <is>
          <t>Alarm_0016 - The start of the machine is locked by the HMI</t>
        </is>
      </c>
      <c r="B9" s="10" t="n">
        <v>58.81900888888889</v>
      </c>
      <c r="C9" s="11" t="n">
        <v>0.01338592451325749</v>
      </c>
    </row>
    <row r="10">
      <c r="A10" t="inlineStr">
        <is>
          <t>Alarm_1678 - 1211-2B1 Limit switch fault Fork B in working position</t>
        </is>
      </c>
      <c r="B10" s="10" t="n">
        <v>58.36897694444444</v>
      </c>
      <c r="C10" s="11" t="n">
        <v>0.0132835070507622</v>
      </c>
    </row>
    <row r="11">
      <c r="A11" t="inlineStr">
        <is>
          <t>Alarm_0732 - 1050-2K1 Hot printer A not ready for operation</t>
        </is>
      </c>
      <c r="B11" s="10" t="n">
        <v>52.94320388888889</v>
      </c>
      <c r="C11" s="11" t="n">
        <v>0.01204871935338818</v>
      </c>
    </row>
    <row r="12">
      <c r="A12" t="inlineStr">
        <is>
          <t>Alarm_1331 - 1150 End of reel</t>
        </is>
      </c>
      <c r="B12" s="10" t="n">
        <v>46.62584638888889</v>
      </c>
      <c r="C12" s="11" t="n">
        <v>0.01061102646777692</v>
      </c>
    </row>
    <row r="13">
      <c r="A13" t="inlineStr">
        <is>
          <t>Alarm_1872 - 1406-6B2 Valve in pickup position B not present</t>
        </is>
      </c>
      <c r="B13" s="10" t="n">
        <v>44.29508694444444</v>
      </c>
      <c r="C13" s="11" t="n">
        <v>0.01008059641512452</v>
      </c>
    </row>
    <row r="14">
      <c r="A14" t="inlineStr">
        <is>
          <t>Alarm_1871 - 1406-6B1 Valve in pickup position A not present</t>
        </is>
      </c>
      <c r="B14" s="10" t="n">
        <v>43.34707138888889</v>
      </c>
      <c r="C14" s="11" t="n">
        <v>0.00986484873586606</v>
      </c>
    </row>
    <row r="15">
      <c r="A15" t="inlineStr">
        <is>
          <t>Alarm_1343 - 1151 End of reel</t>
        </is>
      </c>
      <c r="B15" s="10" t="n">
        <v>41.18845694444445</v>
      </c>
      <c r="C15" s="11" t="n">
        <v>0.009373595133461022</v>
      </c>
    </row>
    <row r="16">
      <c r="A16" t="inlineStr">
        <is>
          <t>Alarm_1657 - 1210-2B1 Limit switch fault Fork A in working position</t>
        </is>
      </c>
      <c r="B16" s="10" t="n">
        <v>40.44950555555555</v>
      </c>
      <c r="C16" s="11" t="n">
        <v>0.009205425902161682</v>
      </c>
    </row>
    <row r="17">
      <c r="A17" t="inlineStr">
        <is>
          <t>Fault_0268 - 1A02-5T2 Battery in external UPS must be checked</t>
        </is>
      </c>
      <c r="B17" s="10" t="n">
        <v>32.07832166666667</v>
      </c>
      <c r="C17" s="11" t="n">
        <v>0.007300326891824028</v>
      </c>
    </row>
    <row r="18">
      <c r="A18" t="inlineStr">
        <is>
          <t>Alarm_1416 - 1158-5B1 All rolls empty - Please refill!</t>
        </is>
      </c>
      <c r="B18" s="10" t="n">
        <v>24.53350694444444</v>
      </c>
      <c r="C18" s="11" t="n">
        <v>0.00558329149381244</v>
      </c>
    </row>
    <row r="19">
      <c r="A19" t="inlineStr">
        <is>
          <t>Fault_1835 - 1400-1T1 Infeedbelt empty, please refill</t>
        </is>
      </c>
      <c r="B19" s="10" t="n">
        <v>21.06452277777778</v>
      </c>
      <c r="C19" s="11" t="n">
        <v>0.004793826301013906</v>
      </c>
    </row>
    <row r="20">
      <c r="A20" t="inlineStr">
        <is>
          <t>Alarm_1367 - 1153 End of reel</t>
        </is>
      </c>
      <c r="B20" s="10" t="n">
        <v>20.93663361111111</v>
      </c>
      <c r="C20" s="11" t="n">
        <v>0.004764721513915278</v>
      </c>
    </row>
    <row r="21">
      <c r="A21" t="inlineStr">
        <is>
          <t>Alarm_1415 - 1158-6GQ1 Vacuum splice module not present</t>
        </is>
      </c>
      <c r="B21" s="10" t="n">
        <v>19.97555583333333</v>
      </c>
      <c r="C21" s="11" t="n">
        <v>0.00454600115755897</v>
      </c>
    </row>
    <row r="22">
      <c r="A22" t="inlineStr">
        <is>
          <t>Alarm_1355 - 1152 End of reel</t>
        </is>
      </c>
      <c r="B22" s="10" t="n">
        <v>18.47353027777778</v>
      </c>
      <c r="C22" s="11" t="n">
        <v>0.004204172876473323</v>
      </c>
    </row>
    <row r="23">
      <c r="A23" t="inlineStr">
        <is>
          <t>Alarm_1404 - 1158-1B1 Web torn</t>
        </is>
      </c>
      <c r="B23" s="10" t="n">
        <v>17.84400166666667</v>
      </c>
      <c r="C23" s="11" t="n">
        <v>0.004060905884620609</v>
      </c>
    </row>
    <row r="24">
      <c r="A24" t="inlineStr">
        <is>
          <t>Alarm_0919 - 1070-3B2 Punch waste B not exhausted</t>
        </is>
      </c>
      <c r="B24" s="10" t="n">
        <v>17.83130166666667</v>
      </c>
      <c r="C24" s="11" t="n">
        <v>0.004058015641406217</v>
      </c>
    </row>
    <row r="25">
      <c r="A25" t="inlineStr">
        <is>
          <t>Fault_0249 - MSM-Bulge A: At least one station takes longer than maximum allowed</t>
        </is>
      </c>
      <c r="B25" s="10" t="n">
        <v>13.20086527777778</v>
      </c>
      <c r="C25" s="11" t="n">
        <v>0.003004229235684988</v>
      </c>
    </row>
    <row r="26">
      <c r="A26" t="inlineStr">
        <is>
          <t>Alarm_1424 - 1159-1B1 Web torn</t>
        </is>
      </c>
      <c r="B26" s="10" t="n">
        <v>12.98801583333333</v>
      </c>
      <c r="C26" s="11" t="n">
        <v>0.002955789341000527</v>
      </c>
    </row>
    <row r="27">
      <c r="A27" t="inlineStr">
        <is>
          <t>Alarm_1379 - 1155 End of reel</t>
        </is>
      </c>
      <c r="B27" s="10" t="n">
        <v>12.71722055555555</v>
      </c>
      <c r="C27" s="11" t="n">
        <v>0.002894162237529141</v>
      </c>
    </row>
    <row r="28">
      <c r="A28" t="inlineStr">
        <is>
          <t>Alarm_1733 - 1226-1K1 General error</t>
        </is>
      </c>
      <c r="B28" s="10" t="n">
        <v>12.69459944444444</v>
      </c>
      <c r="C28" s="11" t="n">
        <v>0.002889014165647968</v>
      </c>
    </row>
    <row r="29">
      <c r="A29" t="inlineStr">
        <is>
          <t>Alarm_1035 - 1076-1M1 Sealing head A has reached adjusted current limit</t>
        </is>
      </c>
      <c r="B29" s="10" t="n">
        <v>12.57671666666667</v>
      </c>
      <c r="C29" s="11" t="n">
        <v>0.002862186614579787</v>
      </c>
    </row>
    <row r="30">
      <c r="A30" t="inlineStr">
        <is>
          <t>Alarm_0985 - 1074 Valve right inserted but not found - Check for valve on web</t>
        </is>
      </c>
      <c r="B30" s="10" t="n">
        <v>12.52694694444445</v>
      </c>
      <c r="C30" s="11" t="n">
        <v>0.002850860110490422</v>
      </c>
    </row>
    <row r="31">
      <c r="A31" t="inlineStr">
        <is>
          <t>Alarm_0680 - 1038-12GQ2 Vacuum counter plate B not present</t>
        </is>
      </c>
      <c r="B31" s="10" t="n">
        <v>11.91114083333333</v>
      </c>
      <c r="C31" s="11" t="n">
        <v>0.002710716060567588</v>
      </c>
    </row>
    <row r="32">
      <c r="A32" t="inlineStr">
        <is>
          <t>Alarm_1791 - 1301-2B1 End of reel</t>
        </is>
      </c>
      <c r="B32" s="10" t="n">
        <v>11.65654</v>
      </c>
      <c r="C32" s="11" t="n">
        <v>0.00265277445970773</v>
      </c>
    </row>
    <row r="33">
      <c r="A33" t="inlineStr">
        <is>
          <t>Alarm_0540 - 1026-1B1 TCP fault. See diagnostic page:</t>
        </is>
      </c>
      <c r="B33" s="10" t="n">
        <v>11.24536</v>
      </c>
      <c r="C33" s="11" t="n">
        <v>0.002559198853023189</v>
      </c>
    </row>
    <row r="34">
      <c r="A34" t="inlineStr">
        <is>
          <t>Alarm_0247 - MSM-Main: At least one station takes longer than maximum allowed</t>
        </is>
      </c>
      <c r="B34" s="10" t="n">
        <v>10.27408194444445</v>
      </c>
      <c r="C34" s="11" t="n">
        <v>0.002338157135750966</v>
      </c>
    </row>
    <row r="35">
      <c r="A35" t="inlineStr">
        <is>
          <t>Alarm_1391 - 1156 End of reel</t>
        </is>
      </c>
      <c r="B35" s="10" t="n">
        <v>10.20574555555556</v>
      </c>
      <c r="C35" s="11" t="n">
        <v>0.002322605262972843</v>
      </c>
    </row>
    <row r="36">
      <c r="A36" t="inlineStr">
        <is>
          <t>Alarm_1753 - 1227-1K1 General error</t>
        </is>
      </c>
      <c r="B36" s="10" t="n">
        <v>10.06867527777778</v>
      </c>
      <c r="C36" s="11" t="n">
        <v>0.002291411055079769</v>
      </c>
    </row>
    <row r="37">
      <c r="A37" t="inlineStr">
        <is>
          <t>Alarm_1060 - 1076-14B1 Flow monitor flow rate not OK</t>
        </is>
      </c>
      <c r="B37" s="10" t="n">
        <v>9.675918055555556</v>
      </c>
      <c r="C37" s="11" t="n">
        <v>0.002202028071108808</v>
      </c>
    </row>
    <row r="38">
      <c r="A38" t="inlineStr">
        <is>
          <t>Fault_1678 - 1A02-5T2 Battery in external UPS must be checked</t>
        </is>
      </c>
      <c r="B38" s="10" t="n">
        <v>9.53987222222222</v>
      </c>
      <c r="C38" s="11" t="n">
        <v>0.002171067004444401</v>
      </c>
    </row>
    <row r="39">
      <c r="A39" t="inlineStr">
        <is>
          <t>Alarm_1195 - 1090-2B1 Error Cylinder switch</t>
        </is>
      </c>
      <c r="B39" s="10" t="n">
        <v>9.368567222222222</v>
      </c>
      <c r="C39" s="11" t="n">
        <v>0.002132081719889959</v>
      </c>
    </row>
    <row r="40">
      <c r="A40" t="inlineStr">
        <is>
          <t>Alarm_0983 - 1074 Valve left inserted but not found - Check for valve on web</t>
        </is>
      </c>
      <c r="B40" s="10" t="n">
        <v>9.218788055555555</v>
      </c>
      <c r="C40" s="11" t="n">
        <v>0.002097995245865108</v>
      </c>
    </row>
    <row r="41">
      <c r="A41" t="inlineStr">
        <is>
          <t>Alarm_1244 - 1129-1B1 Last splice has not been detected</t>
        </is>
      </c>
      <c r="B41" s="10" t="n">
        <v>8.762514444444445</v>
      </c>
      <c r="C41" s="11" t="n">
        <v>0.001994157316068259</v>
      </c>
    </row>
    <row r="42">
      <c r="A42" t="inlineStr">
        <is>
          <t>Alarm_0984 - 1074 Valve right out of area - Check for valve on web</t>
        </is>
      </c>
      <c r="B42" s="10" t="n">
        <v>8.654230833333333</v>
      </c>
      <c r="C42" s="11" t="n">
        <v>0.001969514326127806</v>
      </c>
    </row>
    <row r="43">
      <c r="A43" t="inlineStr">
        <is>
          <t>Alarm_0442 - 1018-16B1/16B2 Foil not in transport chain</t>
        </is>
      </c>
      <c r="B43" s="10" t="n">
        <v>8.526993055555556</v>
      </c>
      <c r="C43" s="11" t="n">
        <v>0.001940557780943827</v>
      </c>
    </row>
    <row r="44">
      <c r="A44" t="inlineStr">
        <is>
          <t>Alarm_0733 - 1050-3K1 Hot printer B not ready for operation</t>
        </is>
      </c>
      <c r="B44" s="10" t="n">
        <v>8.122559444444445</v>
      </c>
      <c r="C44" s="11" t="n">
        <v>0.001848517505338637</v>
      </c>
    </row>
    <row r="45">
      <c r="A45" t="inlineStr">
        <is>
          <t>Alarm_0518 - 1022-11B2 Flow monitor site cooling flow rate not OK</t>
        </is>
      </c>
      <c r="B45" s="10" t="n">
        <v>7.845143888888889</v>
      </c>
      <c r="C45" s="11" t="n">
        <v>0.001785383770928305</v>
      </c>
    </row>
    <row r="46">
      <c r="A46" t="inlineStr">
        <is>
          <t>Alarm_1123 - 1082-3B1 Limit switch fault Push out piston lowered</t>
        </is>
      </c>
      <c r="B46" s="10" t="n">
        <v>7.558936944444445</v>
      </c>
      <c r="C46" s="11" t="n">
        <v>0.001720249308007643</v>
      </c>
    </row>
    <row r="47">
      <c r="A47" t="inlineStr">
        <is>
          <t>Alarm_1167 - 1086 Consecutive fault side B</t>
        </is>
      </c>
      <c r="B47" s="10" t="n">
        <v>7.108898055555556</v>
      </c>
      <c r="C47" s="11" t="n">
        <v>0.001617830265108147</v>
      </c>
    </row>
    <row r="48">
      <c r="A48" t="inlineStr">
        <is>
          <t>Alarm_0667 - 1038-13B1 Limit switch fault Knife top extended</t>
        </is>
      </c>
      <c r="B48" s="10" t="n">
        <v>6.898804444444444</v>
      </c>
      <c r="C48" s="11" t="n">
        <v>0.00157001753802933</v>
      </c>
    </row>
    <row r="49">
      <c r="A49" t="inlineStr">
        <is>
          <t>Alarm_0679 - 1038-12GQ1 Vacuum counter plate A not present</t>
        </is>
      </c>
      <c r="B49" s="10" t="n">
        <v>6.760075</v>
      </c>
      <c r="C49" s="11" t="n">
        <v>0.001538445739963037</v>
      </c>
    </row>
    <row r="50">
      <c r="A50" t="inlineStr">
        <is>
          <t>Alarm_1436 - 1159-5B1 All rolls empty - Please refill!</t>
        </is>
      </c>
      <c r="B50" s="10" t="n">
        <v>6.485912777777778</v>
      </c>
      <c r="C50" s="11" t="n">
        <v>0.001476052393315762</v>
      </c>
    </row>
    <row r="51">
      <c r="A51" t="inlineStr">
        <is>
          <t>Alarm_1072 - 1078-2B3 Limit switch fault Sealing head B in working position</t>
        </is>
      </c>
      <c r="B51" s="10" t="n">
        <v>6.321431944444445</v>
      </c>
      <c r="C51" s="11" t="n">
        <v>0.001438620140367794</v>
      </c>
    </row>
    <row r="52">
      <c r="A52" t="inlineStr">
        <is>
          <t>Alarm_1435 - 1159-6GQ1 Vacuum splice module not present</t>
        </is>
      </c>
      <c r="B52" s="10" t="n">
        <v>6.165217222222222</v>
      </c>
      <c r="C52" s="11" t="n">
        <v>0.001403069074155912</v>
      </c>
    </row>
    <row r="53">
      <c r="A53" t="inlineStr">
        <is>
          <t>Alarm_0918 - 1070-3B1 Punch waste A not exhausted</t>
        </is>
      </c>
      <c r="B53" s="10" t="n">
        <v>6.128391666666666</v>
      </c>
      <c r="C53" s="11" t="n">
        <v>0.001394688380292868</v>
      </c>
    </row>
    <row r="54">
      <c r="A54" t="inlineStr">
        <is>
          <t>Alarm_1909 - 1408-6B2 Limit switch fault Gripper A closed</t>
        </is>
      </c>
      <c r="B54" s="10" t="n">
        <v>6.117171111111111</v>
      </c>
      <c r="C54" s="11" t="n">
        <v>0.001392134826390809</v>
      </c>
    </row>
    <row r="55">
      <c r="A55" t="inlineStr">
        <is>
          <t>Alarm_164 - 1A02-5T2 Battery in external UPS must be checked</t>
        </is>
      </c>
      <c r="B55" s="10" t="n">
        <v>5.896554722222222</v>
      </c>
      <c r="C55" s="11" t="n">
        <v>0.001341927344424685</v>
      </c>
    </row>
    <row r="56">
      <c r="A56" t="inlineStr">
        <is>
          <t>Alarm_1039 - 1076-2M1 Sealing head B has reached adjusted current limit</t>
        </is>
      </c>
      <c r="B56" s="10" t="n">
        <v>5.232356944444445</v>
      </c>
      <c r="C56" s="11" t="n">
        <v>0.001190770405823392</v>
      </c>
    </row>
    <row r="57">
      <c r="A57" t="inlineStr">
        <is>
          <t>Alarm_0982 - 1074 Valve left out of area - Check for valve on web</t>
        </is>
      </c>
      <c r="B57" s="10" t="n">
        <v>5.125465833333333</v>
      </c>
      <c r="C57" s="11" t="n">
        <v>0.001166444318534596</v>
      </c>
    </row>
    <row r="58">
      <c r="A58" t="inlineStr">
        <is>
          <t>Alarm_0705 - 1046-2B1 Web has wrapped around the vacuum belt</t>
        </is>
      </c>
      <c r="B58" s="10" t="n">
        <v>4.873909722222222</v>
      </c>
      <c r="C58" s="11" t="n">
        <v>0.001109195630095407</v>
      </c>
    </row>
    <row r="59">
      <c r="A59" t="inlineStr">
        <is>
          <t>Alarm_1779 - 1022-9B1/15B1 Check sensor signal before starting axis</t>
        </is>
      </c>
      <c r="B59" s="10" t="n">
        <v>4.752906944444445</v>
      </c>
      <c r="C59" s="11" t="n">
        <v>0.00108165803502495</v>
      </c>
    </row>
    <row r="60">
      <c r="A60" t="inlineStr">
        <is>
          <t>Alarm_1786 - 1300-2B1 End of reel</t>
        </is>
      </c>
      <c r="B60" s="10" t="n">
        <v>4.711591388888889</v>
      </c>
      <c r="C60" s="11" t="n">
        <v>0.001072255515017605</v>
      </c>
    </row>
    <row r="61">
      <c r="A61" t="inlineStr">
        <is>
          <t>Alarm_1312 - 1147 Consecutive error guider, actuator or sensor out of range</t>
        </is>
      </c>
      <c r="B61" s="10" t="n">
        <v>4.6931425</v>
      </c>
      <c r="C61" s="11" t="n">
        <v>0.001068056949984205</v>
      </c>
    </row>
    <row r="62">
      <c r="A62" t="inlineStr">
        <is>
          <t>Fault_0044 - The machine empty run is finished</t>
        </is>
      </c>
      <c r="B62" s="10" t="n">
        <v>4.424865555555555</v>
      </c>
      <c r="C62" s="11" t="n">
        <v>0.001007002964294571</v>
      </c>
    </row>
    <row r="63">
      <c r="A63" t="inlineStr">
        <is>
          <t>Alarm_0858 - 1061 Temperature not reached Heating sealing head B at the back</t>
        </is>
      </c>
      <c r="B63" s="10" t="n">
        <v>4.396926666666666</v>
      </c>
      <c r="C63" s="11" t="n">
        <v>0.001000644682087582</v>
      </c>
    </row>
    <row r="64">
      <c r="A64" t="inlineStr">
        <is>
          <t>Alarm_1199 - 1090-1B1 Web torn</t>
        </is>
      </c>
      <c r="B64" s="10" t="n">
        <v>4.294889722222222</v>
      </c>
      <c r="C64" s="11" t="n">
        <v>0.00097742329733972</v>
      </c>
    </row>
    <row r="65">
      <c r="A65" t="inlineStr">
        <is>
          <t>Alarm_1166 - 1086 Consecutive fault side A</t>
        </is>
      </c>
      <c r="B65" s="10" t="n">
        <v>4.020625555555555</v>
      </c>
      <c r="C65" s="11" t="n">
        <v>0.0009150067503586812</v>
      </c>
    </row>
    <row r="66">
      <c r="A66" t="inlineStr">
        <is>
          <t>Warning_0268 - 1A02-5T2 Battery in external UPS must be checked</t>
        </is>
      </c>
      <c r="B66" s="10" t="n">
        <v>3.948658888888889</v>
      </c>
      <c r="C66" s="11" t="n">
        <v>0.000898628705477127</v>
      </c>
    </row>
    <row r="67">
      <c r="A67" t="inlineStr">
        <is>
          <t>Fault_1872 - 1406-6B2 Valve in pickup position B not present</t>
        </is>
      </c>
      <c r="B67" s="10" t="n">
        <v>3.72196</v>
      </c>
      <c r="C67" s="11" t="n">
        <v>0.0008470369790738747</v>
      </c>
    </row>
    <row r="68">
      <c r="A68" t="inlineStr">
        <is>
          <t>Alarm_0095 - Functional or parameter error of an axis, see fault message list</t>
        </is>
      </c>
      <c r="B68" s="10" t="n">
        <v>3.655031111111111</v>
      </c>
      <c r="C68" s="11" t="n">
        <v>0.0008318054226204967</v>
      </c>
    </row>
    <row r="69">
      <c r="A69" t="inlineStr">
        <is>
          <t>Alarm_1433 - 1159-11B1 Error Cylinder switch</t>
        </is>
      </c>
      <c r="B69" s="10" t="n">
        <v>3.611929444444444</v>
      </c>
      <c r="C69" s="11" t="n">
        <v>0.0008219964226510229</v>
      </c>
    </row>
    <row r="70">
      <c r="A70" t="inlineStr">
        <is>
          <t>Alarm_1873 - 1406 Consecutive fault side A</t>
        </is>
      </c>
      <c r="B70" s="10" t="n">
        <v>3.5667425</v>
      </c>
      <c r="C70" s="11" t="n">
        <v>0.0008117128589061678</v>
      </c>
    </row>
    <row r="71">
      <c r="A71" t="inlineStr">
        <is>
          <t>Alarm_0088 - Linking of Sercos devices requested by user, see Service &gt; Sercos</t>
        </is>
      </c>
      <c r="B71" s="10" t="n">
        <v>3.5463425</v>
      </c>
      <c r="C71" s="11" t="n">
        <v>0.000807070263506672</v>
      </c>
    </row>
    <row r="72">
      <c r="A72" t="inlineStr">
        <is>
          <t>Alarm_1839 - 1400-1T1 Infeedbelt empty</t>
        </is>
      </c>
      <c r="B72" s="10" t="n">
        <v>3.199014166666667</v>
      </c>
      <c r="C72" s="11" t="n">
        <v>0.0007280259045631502</v>
      </c>
    </row>
    <row r="73">
      <c r="A73" t="inlineStr">
        <is>
          <t>Alarm_0234 - At least one shift register entry has an alarm when writing</t>
        </is>
      </c>
      <c r="B73" s="10" t="n">
        <v>3.060191111111111</v>
      </c>
      <c r="C73" s="11" t="n">
        <v>0.0006964328026481424</v>
      </c>
    </row>
    <row r="74">
      <c r="A74" t="inlineStr">
        <is>
          <t>Fault_1871 - 1406-6B1 Valve in pickup position A not present</t>
        </is>
      </c>
      <c r="B74" s="10" t="n">
        <v>3.010086666666667</v>
      </c>
      <c r="C74" s="11" t="n">
        <v>0.0006850301230759822</v>
      </c>
    </row>
    <row r="75">
      <c r="A75" t="inlineStr">
        <is>
          <t>Alarm_1722 - 1223-1B1 Consecutive fault camera bad part</t>
        </is>
      </c>
      <c r="B75" s="10" t="n">
        <v>2.868120833333333</v>
      </c>
      <c r="C75" s="11" t="n">
        <v>0.0006527217934328985</v>
      </c>
    </row>
    <row r="76">
      <c r="A76" t="inlineStr">
        <is>
          <t>Alarm_0793 - 1054 Temperature not reached Heating sealing head B at the back</t>
        </is>
      </c>
      <c r="B76" s="10" t="n">
        <v>2.712929722222222</v>
      </c>
      <c r="C76" s="11" t="n">
        <v>0.0006174036788011794</v>
      </c>
    </row>
    <row r="77">
      <c r="A77" t="inlineStr">
        <is>
          <t>Alarm_1364 - 1153-1B1 Web torn</t>
        </is>
      </c>
      <c r="B77" s="10" t="n">
        <v>2.711798333333333</v>
      </c>
      <c r="C77" s="11" t="n">
        <v>0.0006171461993477187</v>
      </c>
    </row>
    <row r="78">
      <c r="A78" t="inlineStr">
        <is>
          <t>Alarm_1840 - 1404-1M1 Turntable is not referenced</t>
        </is>
      </c>
      <c r="B78" s="10" t="n">
        <v>2.709793888888889</v>
      </c>
      <c r="C78" s="11" t="n">
        <v>0.0006166900314773108</v>
      </c>
    </row>
    <row r="79">
      <c r="A79" t="inlineStr">
        <is>
          <t>Fault_0091 - Controller data recovery error, data inconsistent</t>
        </is>
      </c>
      <c r="B79" s="10" t="n">
        <v>2.701277777777778</v>
      </c>
      <c r="C79" s="11" t="n">
        <v>0.0006147519501897599</v>
      </c>
    </row>
    <row r="80">
      <c r="A80" t="inlineStr">
        <is>
          <t>Alarm_1862 - 1406-5B1 Limit switch fault Linear axis retracted</t>
        </is>
      </c>
      <c r="B80" s="10" t="n">
        <v>2.572677777777778</v>
      </c>
      <c r="C80" s="11" t="n">
        <v>0.0005854853929164683</v>
      </c>
    </row>
    <row r="81">
      <c r="A81" t="inlineStr">
        <is>
          <t>Alarm_0927 - 1072-2B1 Limit switch fault Sealing head in working position</t>
        </is>
      </c>
      <c r="B81" s="10" t="n">
        <v>2.321569722222222</v>
      </c>
      <c r="C81" s="11" t="n">
        <v>0.0005283386721567362</v>
      </c>
    </row>
    <row r="82">
      <c r="A82" t="inlineStr">
        <is>
          <t>Alarm_1136 - 1082 Tool change active</t>
        </is>
      </c>
      <c r="B82" s="10" t="n">
        <v>2.278326944444444</v>
      </c>
      <c r="C82" s="11" t="n">
        <v>0.0005184975583737691</v>
      </c>
    </row>
    <row r="83">
      <c r="A83" t="inlineStr">
        <is>
          <t>Alarm_0050 - An emergency stop is activated</t>
        </is>
      </c>
      <c r="B83" s="10" t="n">
        <v>2.224693055555556</v>
      </c>
      <c r="C83" s="11" t="n">
        <v>0.0005062916541672683</v>
      </c>
    </row>
    <row r="84">
      <c r="A84" t="inlineStr">
        <is>
          <t>Alarm_1358 - 1152-1M1 unwinder has reached adjusted current limit</t>
        </is>
      </c>
      <c r="B84" s="10" t="n">
        <v>2.095558333333333</v>
      </c>
      <c r="C84" s="11" t="n">
        <v>0.0004769034057700112</v>
      </c>
    </row>
    <row r="85">
      <c r="A85" t="inlineStr">
        <is>
          <t>Alarm_0091 - Controller data recovery error, data inconsistent</t>
        </is>
      </c>
      <c r="B85" s="10" t="n">
        <v>2.064540555555555</v>
      </c>
      <c r="C85" s="11" t="n">
        <v>0.0004698444355536537</v>
      </c>
    </row>
    <row r="86">
      <c r="A86" t="inlineStr">
        <is>
          <t>Alarm_0678 - 1038-15B1 Flow monitor flow rate not OK</t>
        </is>
      </c>
      <c r="B86" s="10" t="n">
        <v>1.958848055555556</v>
      </c>
      <c r="C86" s="11" t="n">
        <v>0.0004457911260310459</v>
      </c>
    </row>
    <row r="87">
      <c r="A87" t="inlineStr">
        <is>
          <t>Alarm_1128 - 1082-5B2 Error vacuum switch push out piston B</t>
        </is>
      </c>
      <c r="B87" s="10" t="n">
        <v>1.919909166666667</v>
      </c>
      <c r="C87" s="11" t="n">
        <v>0.0004369294835596228</v>
      </c>
    </row>
    <row r="88">
      <c r="A88" t="inlineStr">
        <is>
          <t>Warning_0153 - SR Dependency list</t>
        </is>
      </c>
      <c r="B88" s="10" t="n">
        <v>1.893503611111111</v>
      </c>
      <c r="C88" s="11" t="n">
        <v>0.0004309201546016155</v>
      </c>
    </row>
    <row r="89">
      <c r="A89" t="inlineStr">
        <is>
          <t>Alarm_1897 - 1408-2M1 Valve infeed in Y has reached adjusted current limit</t>
        </is>
      </c>
      <c r="B89" s="10" t="n">
        <v>1.801602222222222</v>
      </c>
      <c r="C89" s="11" t="n">
        <v>0.0004100054014024575</v>
      </c>
    </row>
    <row r="90">
      <c r="A90" t="inlineStr">
        <is>
          <t>Alarm_1863 - 1406-5B2 Limit switch fault Linear axis extended</t>
        </is>
      </c>
      <c r="B90" s="10" t="n">
        <v>1.734481111111111</v>
      </c>
      <c r="C90" s="11" t="n">
        <v>0.00039473009936062</v>
      </c>
    </row>
    <row r="91">
      <c r="A91" t="inlineStr">
        <is>
          <t>Alarm_0188 - 1A07-14K1 Camera PC is not online</t>
        </is>
      </c>
      <c r="B91" s="10" t="n">
        <v>1.646871388888889</v>
      </c>
      <c r="C91" s="11" t="n">
        <v>0.0003747920359616011</v>
      </c>
    </row>
    <row r="92">
      <c r="A92" t="inlineStr">
        <is>
          <t>Alarm_1874 - 1406 Consecutive fault side B</t>
        </is>
      </c>
      <c r="B92" s="10" t="n">
        <v>1.630735</v>
      </c>
      <c r="C92" s="11" t="n">
        <v>0.0003711197455292468</v>
      </c>
    </row>
    <row r="93">
      <c r="A93" t="inlineStr">
        <is>
          <t>Alarm_0005 - Fault in the controller, see Diagnosis &gt; Servo:</t>
        </is>
      </c>
      <c r="B93" s="10" t="n">
        <v>1.606496388888889</v>
      </c>
      <c r="C93" s="11" t="n">
        <v>0.0003656035659000992</v>
      </c>
    </row>
    <row r="94">
      <c r="A94" t="inlineStr">
        <is>
          <t>Alarm_1940 - 1410-4B2 Limit switch fault Sealing head A bottom in home position</t>
        </is>
      </c>
      <c r="B94" s="10" t="n">
        <v>1.428546666666667</v>
      </c>
      <c r="C94" s="11" t="n">
        <v>0.0003251060873839017</v>
      </c>
    </row>
    <row r="95">
      <c r="A95" t="inlineStr">
        <is>
          <t>Alarm_1339 - 1151-1B1 Calibration error</t>
        </is>
      </c>
      <c r="B95" s="10" t="n">
        <v>1.368838333333333</v>
      </c>
      <c r="C95" s="11" t="n">
        <v>0.0003115177720091523</v>
      </c>
    </row>
    <row r="96">
      <c r="A96" t="inlineStr">
        <is>
          <t>Alarm_1075 - 1078-3B1 Limit switch fault Stroke limiter sealing head A + B activated</t>
        </is>
      </c>
      <c r="B96" s="10" t="n">
        <v>1.354294444444444</v>
      </c>
      <c r="C96" s="11" t="n">
        <v>0.0003082078998696261</v>
      </c>
    </row>
    <row r="97">
      <c r="A97" t="inlineStr">
        <is>
          <t>Alarm_1950 - 1410-7B1 Flow monitor flowrate not ok</t>
        </is>
      </c>
      <c r="B97" s="10" t="n">
        <v>1.312111388888889</v>
      </c>
      <c r="C97" s="11" t="n">
        <v>0.0002986079557687</v>
      </c>
    </row>
    <row r="98">
      <c r="A98" t="inlineStr">
        <is>
          <t>Alarm_1144 - 1084 Bad parts box not in position and maximum of bad parts reached</t>
        </is>
      </c>
      <c r="B98" s="10" t="n">
        <v>1.308887222222222</v>
      </c>
      <c r="C98" s="11" t="n">
        <v>0.000297874205703314</v>
      </c>
    </row>
    <row r="99">
      <c r="A99" t="inlineStr">
        <is>
          <t>Alarm_1070 - 1078-2B1 Limit switch fault Sealing head A in working position</t>
        </is>
      </c>
      <c r="B99" s="10" t="n">
        <v>1.213976666666667</v>
      </c>
      <c r="C99" s="11" t="n">
        <v>0.0002762746317530295</v>
      </c>
    </row>
    <row r="100">
      <c r="A100" t="inlineStr">
        <is>
          <t>Fault_0985 - 1074 Valve right inserted but not found - Check for valve on web</t>
        </is>
      </c>
      <c r="B100" s="10" t="n">
        <v>1.195526944444445</v>
      </c>
      <c r="C100" s="11" t="n">
        <v>0.0002720758770711245</v>
      </c>
    </row>
    <row r="101">
      <c r="A101" t="inlineStr">
        <is>
          <t>Alarm_1856 - 1406-2B3 Limit switch fault Stopper B opened</t>
        </is>
      </c>
      <c r="B101" s="10" t="n">
        <v>1.113776388888889</v>
      </c>
      <c r="C101" s="11" t="n">
        <v>0.0002534712323099264</v>
      </c>
    </row>
    <row r="102">
      <c r="A102" t="inlineStr">
        <is>
          <t>Alarm_1157 - 1086-1M1 Vertical axis has reached adjusted current limit</t>
        </is>
      </c>
      <c r="B102" s="10" t="n">
        <v>1.035684166666667</v>
      </c>
      <c r="C102" s="11" t="n">
        <v>0.0002356991444851575</v>
      </c>
    </row>
    <row r="103">
      <c r="A103" t="inlineStr">
        <is>
          <t>Alarm_0878 - 1061-15B1 Flow monitor flow rate not OK</t>
        </is>
      </c>
      <c r="B103" s="10" t="n">
        <v>1.008416944444444</v>
      </c>
      <c r="C103" s="11" t="n">
        <v>0.0002294937189731028</v>
      </c>
    </row>
    <row r="104">
      <c r="A104" t="inlineStr">
        <is>
          <t>Alarm_1292 - 1143 Consecutive error guider, actuator or sensor out of range</t>
        </is>
      </c>
      <c r="B104" s="10" t="n">
        <v>0.9879208333333334</v>
      </c>
      <c r="C104" s="11" t="n">
        <v>0.0002248292507793774</v>
      </c>
    </row>
    <row r="105">
      <c r="A105" t="inlineStr">
        <is>
          <t>Alarm_1932 - 1410-1B3 Limit switch fault Sealing head B top in working position</t>
        </is>
      </c>
      <c r="B105" s="10" t="n">
        <v>0.9697175000000001</v>
      </c>
      <c r="C105" s="11" t="n">
        <v>0.000220686568838749</v>
      </c>
    </row>
    <row r="106">
      <c r="A106" t="inlineStr">
        <is>
          <t>Alarm_0635 - 1036-11B1 Flow monitor flow rate not OK</t>
        </is>
      </c>
      <c r="B106" s="10" t="n">
        <v>0.9569080555555556</v>
      </c>
      <c r="C106" s="11" t="n">
        <v>0.0002177714184540493</v>
      </c>
    </row>
    <row r="107">
      <c r="A107" t="inlineStr">
        <is>
          <t>Warning_1143 - 1084 Bad parts box is full, please empty!</t>
        </is>
      </c>
      <c r="B107" s="10" t="n">
        <v>0.8893516666666668</v>
      </c>
      <c r="C107" s="11" t="n">
        <v>0.0002023970566764955</v>
      </c>
    </row>
    <row r="108">
      <c r="A108" t="inlineStr">
        <is>
          <t>Alarm_1712 - 1222-1B1 Consecutive fault camera bad part</t>
        </is>
      </c>
      <c r="B108" s="10" t="n">
        <v>0.8825238888888889</v>
      </c>
      <c r="C108" s="11" t="n">
        <v>0.0002008432032598342</v>
      </c>
    </row>
    <row r="109">
      <c r="A109" t="inlineStr">
        <is>
          <t>Alarm_1388 - 1156-1B1 Web torn</t>
        </is>
      </c>
      <c r="B109" s="10" t="n">
        <v>0.8606475</v>
      </c>
      <c r="C109" s="11" t="n">
        <v>0.000195864613925857</v>
      </c>
    </row>
    <row r="110">
      <c r="A110" t="inlineStr">
        <is>
          <t>Alarm_0931 - 1072 Temperature not reached Heating sealing head</t>
        </is>
      </c>
      <c r="B110" s="10" t="n">
        <v>0.8566008333333334</v>
      </c>
      <c r="C110" s="11" t="n">
        <v>0.0001949436807861531</v>
      </c>
    </row>
    <row r="111">
      <c r="A111" t="inlineStr">
        <is>
          <t>Alarm_0253 - MSM-Valve: At least one station takes longer than maximum allowed</t>
        </is>
      </c>
      <c r="B111" s="10" t="n">
        <v>0.8458866666666667</v>
      </c>
      <c r="C111" s="11" t="n">
        <v>0.0001925053699588935</v>
      </c>
    </row>
    <row r="112">
      <c r="A112" t="inlineStr">
        <is>
          <t>Fault_1355 - 1152 End of reel</t>
        </is>
      </c>
      <c r="B112" s="10" t="n">
        <v>0.8290483333333333</v>
      </c>
      <c r="C112" s="11" t="n">
        <v>0.0001886733322692606</v>
      </c>
    </row>
    <row r="113">
      <c r="A113" t="inlineStr">
        <is>
          <t>Fault_0016 - The start of the machine is locked by the HMI</t>
        </is>
      </c>
      <c r="B113" s="10" t="n">
        <v>0.7987547222222222</v>
      </c>
      <c r="C113" s="11" t="n">
        <v>0.0001817791666036452</v>
      </c>
    </row>
    <row r="114">
      <c r="A114" t="inlineStr">
        <is>
          <t>Alarm_0087 - Hardware change was detected in Sercos-bus, press reset button for at least 10s</t>
        </is>
      </c>
      <c r="B114" s="10" t="n">
        <v>0.7883</v>
      </c>
      <c r="C114" s="11" t="n">
        <v>0.0001793998996775719</v>
      </c>
    </row>
    <row r="115">
      <c r="A115" t="inlineStr">
        <is>
          <t>Alarm_1124 - 1082-3B2 Limit switch fault Push out piston lifted</t>
        </is>
      </c>
      <c r="B115" s="10" t="n">
        <v>0.7727452777777778</v>
      </c>
      <c r="C115" s="11" t="n">
        <v>0.0001758599839016247</v>
      </c>
    </row>
    <row r="116">
      <c r="A116" t="inlineStr">
        <is>
          <t>Fault_0089 - Imminent overload of a servo axis:</t>
        </is>
      </c>
      <c r="B116" s="10" t="n">
        <v>0.7684094444444445</v>
      </c>
      <c r="C116" s="11" t="n">
        <v>0.000174873242730727</v>
      </c>
    </row>
    <row r="117">
      <c r="A117" t="inlineStr">
        <is>
          <t>Alarm_1240 - 1128-1B1 Last splice has not been detected</t>
        </is>
      </c>
      <c r="B117" s="10" t="n">
        <v>0.76268</v>
      </c>
      <c r="C117" s="11" t="n">
        <v>0.0001735693460434993</v>
      </c>
    </row>
    <row r="118">
      <c r="A118" t="inlineStr">
        <is>
          <t>Alarm_1854 - 1406-2B1 Limit switch fault Stopper A opened</t>
        </is>
      </c>
      <c r="B118" s="10" t="n">
        <v>0.7565508333333334</v>
      </c>
      <c r="C118" s="11" t="n">
        <v>0.000172174481290097</v>
      </c>
    </row>
    <row r="119">
      <c r="A119" t="inlineStr">
        <is>
          <t>Alarm_1413 - 1158-11B1 Error Cylinder switch</t>
        </is>
      </c>
      <c r="B119" s="10" t="n">
        <v>0.7478191666666667</v>
      </c>
      <c r="C119" s="11" t="n">
        <v>0.0001701873442559501</v>
      </c>
    </row>
    <row r="120">
      <c r="A120" t="inlineStr">
        <is>
          <t>Fault_1331 - 1150 End of reel</t>
        </is>
      </c>
      <c r="B120" s="10" t="n">
        <v>0.7431241666666667</v>
      </c>
      <c r="C120" s="11" t="n">
        <v>0.0001691188645794485</v>
      </c>
    </row>
    <row r="121">
      <c r="A121" t="inlineStr">
        <is>
          <t>Alarm_1127 - 1082-5B1 Error vacuum switch push out piston A</t>
        </is>
      </c>
      <c r="B121" s="10" t="n">
        <v>0.7254094444444444</v>
      </c>
      <c r="C121" s="11" t="n">
        <v>0.0001650873798788488</v>
      </c>
    </row>
    <row r="122">
      <c r="A122" t="inlineStr">
        <is>
          <t>Alarm_1855 - 1406-2B2 Limit switch fault Stopper A closed</t>
        </is>
      </c>
      <c r="B122" s="10" t="n">
        <v>0.7231947222222221</v>
      </c>
      <c r="C122" s="11" t="n">
        <v>0.0001645833573690424</v>
      </c>
    </row>
    <row r="123">
      <c r="A123" t="inlineStr">
        <is>
          <t>General_NoFaultSince 15:57:36</t>
        </is>
      </c>
      <c r="B123" s="10" t="n">
        <v>0.7179</v>
      </c>
      <c r="C123" s="11" t="n">
        <v>0.0001633783939851946</v>
      </c>
    </row>
    <row r="124">
      <c r="A124" t="inlineStr">
        <is>
          <t>Fault_0247 - MSM-Main: At least one station takes longer than maximum allowed</t>
        </is>
      </c>
      <c r="B124" s="10" t="n">
        <v>0.7174705555555555</v>
      </c>
      <c r="C124" s="11" t="n">
        <v>0.0001632806617890123</v>
      </c>
    </row>
    <row r="125">
      <c r="A125" t="inlineStr">
        <is>
          <t>Fault_1343 - 1151 End of reel</t>
        </is>
      </c>
      <c r="B125" s="10" t="n">
        <v>0.6912897222222223</v>
      </c>
      <c r="C125" s="11" t="n">
        <v>0.0001573224747111547</v>
      </c>
    </row>
    <row r="126">
      <c r="A126" t="inlineStr">
        <is>
          <t>Alarm_1328 - 1150-1B1 Web torn</t>
        </is>
      </c>
      <c r="B126" s="10" t="n">
        <v>0.6888063888888889</v>
      </c>
      <c r="C126" s="11" t="n">
        <v>0.0001567573221666082</v>
      </c>
    </row>
    <row r="127">
      <c r="A127" t="inlineStr">
        <is>
          <t>Fault_1416 - 1158-5B1 All rolls empty - Please refill!</t>
        </is>
      </c>
      <c r="B127" s="10" t="n">
        <v>0.6830258333333333</v>
      </c>
      <c r="C127" s="11" t="n">
        <v>0.0001554417937044145</v>
      </c>
    </row>
    <row r="128">
      <c r="A128" t="inlineStr">
        <is>
          <t>Alarm_0187 - 1A07-14K1 Camera PC not ready</t>
        </is>
      </c>
      <c r="B128" s="10" t="n">
        <v>0.6726625000000001</v>
      </c>
      <c r="C128" s="11" t="n">
        <v>0.0001530833248977099</v>
      </c>
    </row>
    <row r="129">
      <c r="A129" t="inlineStr">
        <is>
          <t>Fault_0680 - 1038-12GQ2 Vacuum counter plate B not present</t>
        </is>
      </c>
      <c r="B129" s="10" t="n">
        <v>0.6342402777777778</v>
      </c>
      <c r="C129" s="11" t="n">
        <v>0.0001443392644993133</v>
      </c>
    </row>
    <row r="130">
      <c r="A130" t="inlineStr">
        <is>
          <t>Alarm_1638 - 1200 No products available</t>
        </is>
      </c>
      <c r="B130" s="10" t="n">
        <v>0.6330924999999999</v>
      </c>
      <c r="C130" s="11" t="n">
        <v>0.0001440780552919233</v>
      </c>
    </row>
    <row r="131">
      <c r="A131" t="inlineStr">
        <is>
          <t>Alarm_1847 - 1404-3B1 Sensor not switched while movement</t>
        </is>
      </c>
      <c r="B131" s="10" t="n">
        <v>0.6191166666666666</v>
      </c>
      <c r="C131" s="11" t="n">
        <v>0.0001408974602165581</v>
      </c>
    </row>
    <row r="132">
      <c r="A132" t="inlineStr">
        <is>
          <t>Alarm_0745 - 1051-1B1 Consecutive fault camera bad part side A</t>
        </is>
      </c>
      <c r="B132" s="10" t="n">
        <v>0.6038461111111111</v>
      </c>
      <c r="C132" s="11" t="n">
        <v>0.0001374222145807754</v>
      </c>
    </row>
    <row r="133">
      <c r="A133" t="inlineStr">
        <is>
          <t>Alarm_1045 - 1076 Temperature not reached Heating sealing head A</t>
        </is>
      </c>
      <c r="B133" s="10" t="n">
        <v>0.6005486111111111</v>
      </c>
      <c r="C133" s="11" t="n">
        <v>0.0001366717754469599</v>
      </c>
    </row>
    <row r="134">
      <c r="A134" t="inlineStr">
        <is>
          <t>Alarm_0884 - 1068-2B1 Limit switch fault Sealing head in working position</t>
        </is>
      </c>
      <c r="B134" s="10" t="n">
        <v>0.5943552777777777</v>
      </c>
      <c r="C134" s="11" t="n">
        <v>0.0001352623077586816</v>
      </c>
    </row>
    <row r="135">
      <c r="A135" t="inlineStr">
        <is>
          <t>Alarm_1710 - 1222-1B1 TCP fault. See diagnostic page:</t>
        </is>
      </c>
      <c r="B135" s="10" t="n">
        <v>0.5683486111111111</v>
      </c>
      <c r="C135" s="11" t="n">
        <v>0.0001293437572183441</v>
      </c>
    </row>
    <row r="136">
      <c r="A136" t="inlineStr">
        <is>
          <t>Alarm_0488 - 1022-2M1 Sealing head B has reached adjusted current limit</t>
        </is>
      </c>
      <c r="B136" s="10" t="n">
        <v>0.5647777777777778</v>
      </c>
      <c r="C136" s="11" t="n">
        <v>0.0001285311133749275</v>
      </c>
    </row>
    <row r="137">
      <c r="A137" t="inlineStr">
        <is>
          <t>Alarm_0102 - 1A01-3E1 Cooling device not ready for operation</t>
        </is>
      </c>
      <c r="B137" s="10" t="n">
        <v>0.5637722222222222</v>
      </c>
      <c r="C137" s="11" t="n">
        <v>0.000128302270845704</v>
      </c>
    </row>
    <row r="138">
      <c r="A138" t="inlineStr">
        <is>
          <t>Alarm_1287 - 1142 Consecutive error guider, actuator or sensor out of range</t>
        </is>
      </c>
      <c r="B138" s="10" t="n">
        <v>0.5556863888888889</v>
      </c>
      <c r="C138" s="11" t="n">
        <v>0.0001264621114028401</v>
      </c>
    </row>
    <row r="139">
      <c r="A139" t="inlineStr">
        <is>
          <t>Warning_0248 - MSM-Main: At least one station takes longer than the set cycle time allows</t>
        </is>
      </c>
      <c r="B139" s="10" t="n">
        <v>0.5420375000000001</v>
      </c>
      <c r="C139" s="11" t="n">
        <v>0.0001233559217575566</v>
      </c>
    </row>
    <row r="140">
      <c r="A140" t="inlineStr">
        <is>
          <t>Alarm_1356 - 1152-1QM1 Pressure dancer out of tolerance</t>
        </is>
      </c>
      <c r="B140" s="10" t="n">
        <v>0.5130952777777777</v>
      </c>
      <c r="C140" s="11" t="n">
        <v>0.0001167693027506904</v>
      </c>
    </row>
    <row r="141">
      <c r="A141" t="inlineStr">
        <is>
          <t>Warning_1366 - 1153 Prewarning end of reel</t>
        </is>
      </c>
      <c r="B141" s="10" t="n">
        <v>0.5112797222222223</v>
      </c>
      <c r="C141" s="11" t="n">
        <v>0.0001163561218747222</v>
      </c>
    </row>
    <row r="142">
      <c r="A142" t="inlineStr">
        <is>
          <t>Fault_1678 - 1211-2B1 Limit switch fault Fork B in working position</t>
        </is>
      </c>
      <c r="B142" s="10" t="n">
        <v>0.4918244444444445</v>
      </c>
      <c r="C142" s="11" t="n">
        <v>0.0001119285246635936</v>
      </c>
    </row>
    <row r="143">
      <c r="A143" t="inlineStr">
        <is>
          <t>Alarm_1864 - 1406-7B1 Limit switch fault product gripper A opened</t>
        </is>
      </c>
      <c r="B143" s="10" t="n">
        <v>0.4893166666666667</v>
      </c>
      <c r="C143" s="11" t="n">
        <v>0.0001113578090962373</v>
      </c>
    </row>
    <row r="144">
      <c r="A144" t="inlineStr">
        <is>
          <t>Alarm_1660 - 1210-4B1 Limit switch fault Gripper A in working position</t>
        </is>
      </c>
      <c r="B144" s="10" t="n">
        <v>0.4735852777777778</v>
      </c>
      <c r="C144" s="11" t="n">
        <v>0.0001077776878372553</v>
      </c>
    </row>
    <row r="145">
      <c r="A145" t="inlineStr">
        <is>
          <t>Alarm_1906 - 1408 Consecutive fault side A</t>
        </is>
      </c>
      <c r="B145" s="10" t="n">
        <v>0.4708322222222222</v>
      </c>
      <c r="C145" s="11" t="n">
        <v>0.0001071511523932956</v>
      </c>
    </row>
    <row r="146">
      <c r="A146" t="inlineStr">
        <is>
          <t>Alarm_0470 - 1020-7B1 Punch waste A not exhausted</t>
        </is>
      </c>
      <c r="B146" s="10" t="n">
        <v>0.4506333333333333</v>
      </c>
      <c r="C146" s="11" t="n">
        <v>0.0001025543254996446</v>
      </c>
    </row>
    <row r="147">
      <c r="A147" t="inlineStr">
        <is>
          <t>Alarm_1334 - 1150-1M1 unwinder has reached adjusted current limit</t>
        </is>
      </c>
      <c r="B147" s="10" t="n">
        <v>0.4301672222222222</v>
      </c>
      <c r="C147" s="11" t="n">
        <v>9.789668465209495e-05</v>
      </c>
    </row>
    <row r="148">
      <c r="A148" t="inlineStr">
        <is>
          <t>Alarm_1948 - 1410 Consecutive fault side A</t>
        </is>
      </c>
      <c r="B148" s="10" t="n">
        <v>0.4231225</v>
      </c>
      <c r="C148" s="11" t="n">
        <v>9.629345940799622e-05</v>
      </c>
    </row>
    <row r="149">
      <c r="A149" t="inlineStr">
        <is>
          <t>Fault_1733 - 1226-1K1 General error</t>
        </is>
      </c>
      <c r="B149" s="10" t="n">
        <v>0.4132241666666667</v>
      </c>
      <c r="C149" s="11" t="n">
        <v>9.404081446701541e-05</v>
      </c>
    </row>
    <row r="150">
      <c r="A150" t="inlineStr">
        <is>
          <t>Alarm_1942 - 1410-4B4 Limit switch fault Sealing head B bottom in home position</t>
        </is>
      </c>
      <c r="B150" s="10" t="n">
        <v>0.3980452777777778</v>
      </c>
      <c r="C150" s="11" t="n">
        <v>9.058643016676972e-05</v>
      </c>
    </row>
    <row r="151">
      <c r="A151" t="inlineStr">
        <is>
          <t>Fault_1834 - 1400-3B1 Infeed valve maximum product level permanently not reached</t>
        </is>
      </c>
      <c r="B151" s="10" t="n">
        <v>0.3857083333333333</v>
      </c>
      <c r="C151" s="11" t="n">
        <v>8.777881048433776e-05</v>
      </c>
    </row>
    <row r="152">
      <c r="A152" t="inlineStr">
        <is>
          <t>Fault_1415 - 1158-6GQ1 Vacuum splice module not present</t>
        </is>
      </c>
      <c r="B152" s="10" t="n">
        <v>0.3792677777777778</v>
      </c>
      <c r="C152" s="11" t="n">
        <v>8.631308040627802e-05</v>
      </c>
    </row>
    <row r="153">
      <c r="A153" t="inlineStr">
        <is>
          <t>Alarm_1382 - 1155-1M1 unwinder has reached adjusted current limit</t>
        </is>
      </c>
      <c r="B153" s="10" t="n">
        <v>0.3738269444444444</v>
      </c>
      <c r="C153" s="11" t="n">
        <v>8.507486531790761e-05</v>
      </c>
    </row>
    <row r="154">
      <c r="A154" t="inlineStr">
        <is>
          <t>Alarm_0811 - 1054-14B1 Flow monitor flow rate not OK</t>
        </is>
      </c>
      <c r="B154" s="10" t="n">
        <v>0.3735675</v>
      </c>
      <c r="C154" s="11" t="n">
        <v>8.501582141672122e-05</v>
      </c>
    </row>
    <row r="155">
      <c r="A155" t="inlineStr">
        <is>
          <t>Alarm_1161 - 1086-2M1 Horizontal axis has reached adjusted current limit</t>
        </is>
      </c>
      <c r="B155" s="10" t="n">
        <v>0.3700869444444445</v>
      </c>
      <c r="C155" s="11" t="n">
        <v>8.422372282800007e-05</v>
      </c>
    </row>
    <row r="156">
      <c r="A156" t="inlineStr">
        <is>
          <t>Alarm_1092 - 1078-10B1 Flow monitor flow rate not OK</t>
        </is>
      </c>
      <c r="B156" s="10" t="n">
        <v>0.364095</v>
      </c>
      <c r="C156" s="11" t="n">
        <v>8.286008686173479e-05</v>
      </c>
    </row>
    <row r="157">
      <c r="A157" t="inlineStr">
        <is>
          <t>Alarm_1930 - 1410-1B1 Limit switch fault Sealing head A top in working position</t>
        </is>
      </c>
      <c r="B157" s="10" t="n">
        <v>0.3560241666666667</v>
      </c>
      <c r="C157" s="11" t="n">
        <v>8.102334109195882e-05</v>
      </c>
    </row>
    <row r="158">
      <c r="A158" t="inlineStr">
        <is>
          <t>Alarm_1962 - 1412-1B3 Limit switch fault product gripper B opened</t>
        </is>
      </c>
      <c r="B158" s="10" t="n">
        <v>0.3556091666666666</v>
      </c>
      <c r="C158" s="11" t="n">
        <v>8.092889613652789e-05</v>
      </c>
    </row>
    <row r="159">
      <c r="A159" t="inlineStr">
        <is>
          <t>Alarm_0611 - 1036-2B1 Limit switch fault Sealing head A in working position</t>
        </is>
      </c>
      <c r="B159" s="10" t="n">
        <v>0.3468458333333334</v>
      </c>
      <c r="C159" s="11" t="n">
        <v>7.893455245919552e-05</v>
      </c>
    </row>
    <row r="160">
      <c r="A160" t="inlineStr">
        <is>
          <t>Alarm_0850 - 1061-4B1 Limit switch fault Counter plate in working position</t>
        </is>
      </c>
      <c r="B160" s="10" t="n">
        <v>0.3401741666666667</v>
      </c>
      <c r="C160" s="11" t="n">
        <v>7.741622652911534e-05</v>
      </c>
    </row>
    <row r="161">
      <c r="A161" t="inlineStr">
        <is>
          <t>Fault_1127 - 1082-5B1 Error vacuum switch push out piston A</t>
        </is>
      </c>
      <c r="B161" s="10" t="n">
        <v>0.3366997222222222</v>
      </c>
      <c r="C161" s="11" t="n">
        <v>7.662551869609666e-05</v>
      </c>
    </row>
    <row r="162">
      <c r="A162" t="inlineStr">
        <is>
          <t>Alarm_1125 - 1082-4B1 Limit switch fault Push out piston in working position</t>
        </is>
      </c>
      <c r="B162" s="10" t="n">
        <v>0.3287530555555556</v>
      </c>
      <c r="C162" s="11" t="n">
        <v>7.4817030553548e-05</v>
      </c>
    </row>
    <row r="163">
      <c r="A163" t="inlineStr">
        <is>
          <t>Alarm_1949 - 1410 Consecutive fault side B</t>
        </is>
      </c>
      <c r="B163" s="10" t="n">
        <v>0.3194233333333333</v>
      </c>
      <c r="C163" s="11" t="n">
        <v>7.269378910906458e-05</v>
      </c>
    </row>
    <row r="164">
      <c r="A164" t="inlineStr">
        <is>
          <t>Fault_1854 - 1406-2B1 Limit switch fault Stopper A opened</t>
        </is>
      </c>
      <c r="B164" s="10" t="n">
        <v>0.3172255555555555</v>
      </c>
      <c r="C164" s="11" t="n">
        <v>7.219362278552414e-05</v>
      </c>
    </row>
    <row r="165">
      <c r="A165" t="inlineStr">
        <is>
          <t>Fault_1790 - 1301-2B1 Prewarning end of reel</t>
        </is>
      </c>
      <c r="B165" s="10" t="n">
        <v>0.3170738888888889</v>
      </c>
      <c r="C165" s="11" t="n">
        <v>7.215910675763573e-05</v>
      </c>
    </row>
    <row r="166">
      <c r="A166" t="inlineStr">
        <is>
          <t>Warning_1834 - 1400-3B1 Infeed valve maximum product level permanently not reached</t>
        </is>
      </c>
      <c r="B166" s="10" t="n">
        <v>0.3052691666666667</v>
      </c>
      <c r="C166" s="11" t="n">
        <v>6.947260925365468e-05</v>
      </c>
    </row>
    <row r="167">
      <c r="A167" t="inlineStr">
        <is>
          <t>Alarm_1297 - 1144 Consecutive error guider, actuator or sensor out of range</t>
        </is>
      </c>
      <c r="B167" s="10" t="n">
        <v>0.3023294444444444</v>
      </c>
      <c r="C167" s="11" t="n">
        <v>6.880359254460152e-05</v>
      </c>
    </row>
    <row r="168">
      <c r="A168" t="inlineStr">
        <is>
          <t>Alarm_1805 - 1311-1B1 Last splice has not been detected</t>
        </is>
      </c>
      <c r="B168" s="10" t="n">
        <v>0.2966272222222222</v>
      </c>
      <c r="C168" s="11" t="n">
        <v>6.750589104186666e-05</v>
      </c>
    </row>
    <row r="169">
      <c r="A169" t="inlineStr">
        <is>
          <t>Fault_0982 - 1074 Valve left out of area - Check for valve on web</t>
        </is>
      </c>
      <c r="B169" s="10" t="n">
        <v>0.2960772222222222</v>
      </c>
      <c r="C169" s="11" t="n">
        <v>6.738072302864497e-05</v>
      </c>
    </row>
    <row r="170">
      <c r="A170" t="inlineStr">
        <is>
          <t>Alarm_1387 - 1156-1B1 Calibration error</t>
        </is>
      </c>
      <c r="B170" s="10" t="n">
        <v>0.2954936111111111</v>
      </c>
      <c r="C170" s="11" t="n">
        <v>6.724790585905972e-05</v>
      </c>
    </row>
    <row r="171">
      <c r="A171" t="inlineStr">
        <is>
          <t>Fault_1143 - 1084 Bad parts box is full, please empty!</t>
        </is>
      </c>
      <c r="B171" s="10" t="n">
        <v>0.2948055555555555</v>
      </c>
      <c r="C171" s="11" t="n">
        <v>6.7091319410196e-05</v>
      </c>
    </row>
    <row r="172">
      <c r="A172" t="inlineStr">
        <is>
          <t>Alarm_1408 - 1158-4B2 Position adjustment Y end position at the back reached</t>
        </is>
      </c>
      <c r="B172" s="10" t="n">
        <v>0.2899416666666667</v>
      </c>
      <c r="C172" s="11" t="n">
        <v>6.59844043033718e-05</v>
      </c>
    </row>
    <row r="173">
      <c r="A173" t="inlineStr">
        <is>
          <t>Alarm_0484 - 1022-1M1 Sealing head A has reached adjusted current limit</t>
        </is>
      </c>
      <c r="B173" s="10" t="n">
        <v>0.2896638888888889</v>
      </c>
      <c r="C173" s="11" t="n">
        <v>6.592118813507801e-05</v>
      </c>
    </row>
    <row r="174">
      <c r="A174" t="inlineStr">
        <is>
          <t>Alarm_0293 - 1005-7B1 Punch waste A not exhausted</t>
        </is>
      </c>
      <c r="B174" s="10" t="n">
        <v>0.2826988888888889</v>
      </c>
      <c r="C174" s="11" t="n">
        <v>6.433610593127961e-05</v>
      </c>
    </row>
    <row r="175">
      <c r="A175" t="inlineStr">
        <is>
          <t>Fault_1873 - 1406 Consecutive fault side A</t>
        </is>
      </c>
      <c r="B175" s="10" t="n">
        <v>0.2747791666666667</v>
      </c>
      <c r="C175" s="11" t="n">
        <v>6.253374975705545e-05</v>
      </c>
    </row>
    <row r="176">
      <c r="A176" t="inlineStr">
        <is>
          <t>Fault_1364 - 1153-1B1 Web torn</t>
        </is>
      </c>
      <c r="B176" s="10" t="n">
        <v>0.2661583333333333</v>
      </c>
      <c r="C176" s="11" t="n">
        <v>6.057183597405777e-05</v>
      </c>
    </row>
    <row r="177">
      <c r="A177" t="inlineStr">
        <is>
          <t>Alarm_0443 - 1018-17B1 Flow monitor flow rate not OK</t>
        </is>
      </c>
      <c r="B177" s="10" t="n">
        <v>0.2657533333333333</v>
      </c>
      <c r="C177" s="11" t="n">
        <v>6.047966680068544e-05</v>
      </c>
    </row>
    <row r="178">
      <c r="A178" t="inlineStr">
        <is>
          <t>Alarm_0925 - 1072-1B1 Limit switch fault Counter plate in working position</t>
        </is>
      </c>
      <c r="B178" s="10" t="n">
        <v>0.26131</v>
      </c>
      <c r="C178" s="11" t="n">
        <v>5.946846097265802e-05</v>
      </c>
    </row>
    <row r="179">
      <c r="A179" t="inlineStr">
        <is>
          <t>Alarm_1658 - 1210-2B2 Limit switch fault Fork A in home position</t>
        </is>
      </c>
      <c r="B179" s="10" t="n">
        <v>0.2612713888888889</v>
      </c>
      <c r="C179" s="11" t="n">
        <v>5.945967392526518e-05</v>
      </c>
    </row>
    <row r="180">
      <c r="A180" t="inlineStr">
        <is>
          <t>Alarm_1841 - 1404-1M1 Turntable has reached adjusted current limit</t>
        </is>
      </c>
      <c r="B180" s="10" t="n">
        <v>0.2611441666666667</v>
      </c>
      <c r="C180" s="11" t="n">
        <v>5.943072092018662e-05</v>
      </c>
    </row>
    <row r="181">
      <c r="A181" t="inlineStr">
        <is>
          <t>Alarm_1047 - 1076 Temperature not reached Heating sealing head B</t>
        </is>
      </c>
      <c r="B181" s="10" t="n">
        <v>0.2554402777777778</v>
      </c>
      <c r="C181" s="11" t="n">
        <v>5.8132640120442e-05</v>
      </c>
    </row>
    <row r="182">
      <c r="A182" t="inlineStr">
        <is>
          <t>Alarm_1307 - 1146 Consecutive error guider, actuator or sensor out of range</t>
        </is>
      </c>
      <c r="B182" s="10" t="n">
        <v>0.2482219444444445</v>
      </c>
      <c r="C182" s="11" t="n">
        <v>5.648990477115966e-05</v>
      </c>
    </row>
    <row r="183">
      <c r="A183" t="inlineStr">
        <is>
          <t>Alarm_0164</t>
        </is>
      </c>
      <c r="B183" s="10" t="n">
        <v>0.2426369444444444</v>
      </c>
      <c r="C183" s="11" t="n">
        <v>5.521888049144478e-05</v>
      </c>
    </row>
    <row r="184">
      <c r="A184" t="inlineStr">
        <is>
          <t>Alarm_0457 - 1020-2M1 Belt steel cut has reached adjusted current limit</t>
        </is>
      </c>
      <c r="B184" s="10" t="n">
        <v>0.2363666666666667</v>
      </c>
      <c r="C184" s="11" t="n">
        <v>5.379190192454913e-05</v>
      </c>
    </row>
    <row r="185">
      <c r="A185" t="inlineStr">
        <is>
          <t>Fault_1404 - 1158-1B1 Web torn</t>
        </is>
      </c>
      <c r="B185" s="10" t="n">
        <v>0.2333230555555555</v>
      </c>
      <c r="C185" s="11" t="n">
        <v>5.309924236855411e-05</v>
      </c>
    </row>
    <row r="186">
      <c r="A186" t="inlineStr">
        <is>
          <t>Alarm_0517 - 1022-11B1 Flow monitor chiller flow rate not OK</t>
        </is>
      </c>
      <c r="B186" s="10" t="n">
        <v>0.2329</v>
      </c>
      <c r="C186" s="11" t="n">
        <v>5.300296414424267e-05</v>
      </c>
    </row>
    <row r="187">
      <c r="A187" t="inlineStr">
        <is>
          <t>Alarm_0037 - 1A03-1K1:CN10 The Profinet-bus system communication is too slow</t>
        </is>
      </c>
      <c r="B187" s="10" t="n">
        <v>0.2299777777777778</v>
      </c>
      <c r="C187" s="11" t="n">
        <v>5.233793005379203e-05</v>
      </c>
    </row>
    <row r="188">
      <c r="A188" t="inlineStr">
        <is>
          <t>Alarm_0507 - 1022 Consecutive fault side A</t>
        </is>
      </c>
      <c r="B188" s="10" t="n">
        <v>0.2293216666666667</v>
      </c>
      <c r="C188" s="11" t="n">
        <v>5.218861346428211e-05</v>
      </c>
    </row>
    <row r="189">
      <c r="A189" t="inlineStr">
        <is>
          <t>Warning_1143</t>
        </is>
      </c>
      <c r="B189" s="10" t="n">
        <v>0.2280269444444445</v>
      </c>
      <c r="C189" s="11" t="n">
        <v>5.189396290386477e-05</v>
      </c>
    </row>
    <row r="190">
      <c r="A190" t="inlineStr">
        <is>
          <t>Fault_0733 - 1050-3K1 Hot printer B not ready for operation</t>
        </is>
      </c>
      <c r="B190" s="10" t="n">
        <v>0.2227655555555555</v>
      </c>
      <c r="C190" s="11" t="n">
        <v>5.069658546021215e-05</v>
      </c>
    </row>
    <row r="191">
      <c r="A191" t="inlineStr">
        <is>
          <t>Fault_0070 - The guard of the machine is not closed</t>
        </is>
      </c>
      <c r="B191" s="10" t="n">
        <v>0.2203675</v>
      </c>
      <c r="C191" s="11" t="n">
        <v>5.015084027933189e-05</v>
      </c>
    </row>
    <row r="192">
      <c r="A192" t="inlineStr">
        <is>
          <t>Fault_0678 - 1038-15B1 Flow monitor flow rate not OK</t>
        </is>
      </c>
      <c r="B192" s="10" t="n">
        <v>0.2194175</v>
      </c>
      <c r="C192" s="11" t="n">
        <v>4.993464098376714e-05</v>
      </c>
    </row>
    <row r="193">
      <c r="A193" t="inlineStr">
        <is>
          <t>Fault_0253 - MSM-Valve: At least one station takes longer than maximum allowed</t>
        </is>
      </c>
      <c r="B193" s="10" t="n">
        <v>0.2188461111111111</v>
      </c>
      <c r="C193" s="11" t="n">
        <v>4.980460532558682e-05</v>
      </c>
    </row>
    <row r="194">
      <c r="A194" t="inlineStr">
        <is>
          <t>Alarm_1800 - 1310-1B1 Last splice has not been detected</t>
        </is>
      </c>
      <c r="B194" s="10" t="n">
        <v>0.2166175</v>
      </c>
      <c r="C194" s="11" t="n">
        <v>4.929742200736576e-05</v>
      </c>
    </row>
    <row r="195">
      <c r="A195" t="inlineStr">
        <is>
          <t>Warning_0001 - The consecutive fault function is switched off</t>
        </is>
      </c>
      <c r="B195" s="10" t="n">
        <v>0.2127527777777778</v>
      </c>
      <c r="C195" s="11" t="n">
        <v>4.84178954578943e-05</v>
      </c>
    </row>
    <row r="196">
      <c r="A196" t="inlineStr">
        <is>
          <t>Fault_1367 - 1153 End of reel</t>
        </is>
      </c>
      <c r="B196" s="10" t="n">
        <v>0.2039561111111111</v>
      </c>
      <c r="C196" s="11" t="n">
        <v>4.641596584036666e-05</v>
      </c>
    </row>
    <row r="197">
      <c r="A197" t="inlineStr">
        <is>
          <t>Fault_1128 - 1082-5B2 Error vacuum switch push out piston B</t>
        </is>
      </c>
      <c r="B197" s="10" t="n">
        <v>0.2020211111111112</v>
      </c>
      <c r="C197" s="11" t="n">
        <v>4.597560201203216e-05</v>
      </c>
    </row>
    <row r="198">
      <c r="A198" t="inlineStr">
        <is>
          <t>Alarm_1857 - 1406-2B4 Limit switch fault Stopper B closed</t>
        </is>
      </c>
      <c r="B198" s="10" t="n">
        <v>0.2018736111111111</v>
      </c>
      <c r="C198" s="11" t="n">
        <v>4.594203422666814e-05</v>
      </c>
    </row>
    <row r="199">
      <c r="A199" t="inlineStr">
        <is>
          <t>Alarm_1941 - 1410-4B3 Limit switch fault Sealing head B bottom in working position</t>
        </is>
      </c>
      <c r="B199" s="10" t="n">
        <v>0.1919944444444444</v>
      </c>
      <c r="C199" s="11" t="n">
        <v>4.369375120129961e-05</v>
      </c>
    </row>
    <row r="200">
      <c r="A200" t="inlineStr">
        <is>
          <t>Alarm_1399 - 1158-2B1 Error Cylinder switch</t>
        </is>
      </c>
      <c r="B200" s="10" t="n">
        <v>0.1836525</v>
      </c>
      <c r="C200" s="11" t="n">
        <v>4.17953064512689e-05</v>
      </c>
    </row>
    <row r="201">
      <c r="A201" t="inlineStr">
        <is>
          <t>Fault_1424 - 1159-1B1 Web torn</t>
        </is>
      </c>
      <c r="B201" s="10" t="n">
        <v>0.1813147222222222</v>
      </c>
      <c r="C201" s="11" t="n">
        <v>4.126327917890839e-05</v>
      </c>
    </row>
    <row r="202">
      <c r="A202" t="inlineStr">
        <is>
          <t>Alarm_1587 - 1183-1K1 Consecutive fault tension out of tolerance</t>
        </is>
      </c>
      <c r="B202" s="10" t="n">
        <v>0.1798855555555555</v>
      </c>
      <c r="C202" s="11" t="n">
        <v>4.093803199303685e-05</v>
      </c>
    </row>
    <row r="203">
      <c r="A203" t="inlineStr">
        <is>
          <t>Alarm_1275 - 1140-1T1 Web guiding not ready for operation</t>
        </is>
      </c>
      <c r="B203" s="10" t="n">
        <v>0.1760055555555556</v>
      </c>
      <c r="C203" s="11" t="n">
        <v>4.005502855430924e-05</v>
      </c>
    </row>
    <row r="204">
      <c r="A204" t="inlineStr">
        <is>
          <t>Alarm_0429 - 1018-11QM3 Fault Sealing head A and B front closing pressure out of tolerance</t>
        </is>
      </c>
      <c r="B204" s="10" t="n">
        <v>0.171575</v>
      </c>
      <c r="C204" s="11" t="n">
        <v>3.904673067002334e-05</v>
      </c>
    </row>
    <row r="205">
      <c r="A205" t="inlineStr">
        <is>
          <t>Alarm_1277 - 1140 Consecutive error guider, actuator or sensor out of range</t>
        </is>
      </c>
      <c r="B205" s="10" t="n">
        <v>0.1710411111111111</v>
      </c>
      <c r="C205" s="11" t="n">
        <v>3.892522919456269e-05</v>
      </c>
    </row>
    <row r="206">
      <c r="A206" t="inlineStr">
        <is>
          <t>Alarm_164</t>
        </is>
      </c>
      <c r="B206" s="10" t="n">
        <v>0.1695852777777778</v>
      </c>
      <c r="C206" s="11" t="n">
        <v>3.859391325653495e-05</v>
      </c>
    </row>
    <row r="207">
      <c r="A207" t="inlineStr">
        <is>
          <t>Alarm_1860 - 1406-3B3 Limit switch fault Parallel gripper B closed</t>
        </is>
      </c>
      <c r="B207" s="10" t="n">
        <v>0.1675144444444444</v>
      </c>
      <c r="C207" s="11" t="n">
        <v>3.812263672190476e-05</v>
      </c>
    </row>
    <row r="208">
      <c r="A208" t="inlineStr">
        <is>
          <t>Alarm_0390 - 1016-1M1 Infeed has reached adjusted current limit</t>
        </is>
      </c>
      <c r="B208" s="10" t="n">
        <v>0.1672602777777778</v>
      </c>
      <c r="C208" s="11" t="n">
        <v>3.806479392791595e-05</v>
      </c>
    </row>
    <row r="209">
      <c r="A209" t="inlineStr">
        <is>
          <t>Alarm_0552 - 1026-1B2 Consecutive fault camera bad part side B</t>
        </is>
      </c>
      <c r="B209" s="10" t="n">
        <v>0.1662622222222222</v>
      </c>
      <c r="C209" s="11" t="n">
        <v>3.783765823523637e-05</v>
      </c>
    </row>
    <row r="210">
      <c r="A210" t="inlineStr">
        <is>
          <t>Fault_1312 - 1147 Consecutive error guider, actuator or sensor out of range</t>
        </is>
      </c>
      <c r="B210" s="10" t="n">
        <v>0.1662516666666667</v>
      </c>
      <c r="C210" s="11" t="n">
        <v>3.78352560208412e-05</v>
      </c>
    </row>
    <row r="211">
      <c r="A211" t="inlineStr">
        <is>
          <t>Alarm_0861 - 1061-10B3 Limit switch fault Sealing head B front in working position</t>
        </is>
      </c>
      <c r="B211" s="10" t="n">
        <v>0.1641638888888889</v>
      </c>
      <c r="C211" s="11" t="n">
        <v>3.73601232999451e-05</v>
      </c>
    </row>
    <row r="212">
      <c r="A212" t="inlineStr">
        <is>
          <t>Alarm_0746 - 1051-1B1 Consecutive fault camera bad part side B</t>
        </is>
      </c>
      <c r="B212" s="10" t="n">
        <v>0.1618063888888889</v>
      </c>
      <c r="C212" s="11" t="n">
        <v>3.682360767963573e-05</v>
      </c>
    </row>
    <row r="213">
      <c r="A213" t="inlineStr">
        <is>
          <t>Fault_1965 - 1412 Bad parts box is full, please empty!</t>
        </is>
      </c>
      <c r="B213" s="10" t="n">
        <v>0.1595611111111111</v>
      </c>
      <c r="C213" s="11" t="n">
        <v>3.631263139131705e-05</v>
      </c>
    </row>
    <row r="214">
      <c r="A214" t="inlineStr">
        <is>
          <t>Fault_0679 - 1038-12GQ1 Vacuum counter plate A not present</t>
        </is>
      </c>
      <c r="B214" s="10" t="n">
        <v>0.1548497222222222</v>
      </c>
      <c r="C214" s="11" t="n">
        <v>3.524042196088614e-05</v>
      </c>
    </row>
    <row r="215">
      <c r="A215" t="inlineStr">
        <is>
          <t>Alarm_0670 - 1038-14B2 Limit switch fault Flap punching waste A closed</t>
        </is>
      </c>
      <c r="B215" s="10" t="n">
        <v>0.1519313888888889</v>
      </c>
      <c r="C215" s="11" t="n">
        <v>3.457627289679161e-05</v>
      </c>
    </row>
    <row r="216">
      <c r="A216" t="inlineStr">
        <is>
          <t>Alarm_1523 - 1175-2QM2 Pressure roller out of tolerance</t>
        </is>
      </c>
      <c r="B216" s="10" t="n">
        <v>0.1492658333333333</v>
      </c>
      <c r="C216" s="11" t="n">
        <v>3.396965054584444e-05</v>
      </c>
    </row>
    <row r="217">
      <c r="A217" t="inlineStr">
        <is>
          <t>Alarm_1216 - 1120-1B1 Last splice has not been detected</t>
        </is>
      </c>
      <c r="B217" s="10" t="n">
        <v>0.148165</v>
      </c>
      <c r="C217" s="11" t="n">
        <v>3.371912487089616e-05</v>
      </c>
    </row>
    <row r="218">
      <c r="A218" t="inlineStr">
        <is>
          <t>Alarm_1246 - 1129-1B1 Consecutive error splice detection</t>
        </is>
      </c>
      <c r="B218" s="10" t="n">
        <v>0.1456583333333333</v>
      </c>
      <c r="C218" s="11" t="n">
        <v>3.314866216821302e-05</v>
      </c>
    </row>
    <row r="219">
      <c r="A219" t="inlineStr">
        <is>
          <t>Alarm_1290 - 1143-1T1 Web guiding not ready for operation</t>
        </is>
      </c>
      <c r="B219" s="10" t="n">
        <v>0.1438575</v>
      </c>
      <c r="C219" s="11" t="n">
        <v>3.273883174916441e-05</v>
      </c>
    </row>
    <row r="220">
      <c r="A220" t="inlineStr">
        <is>
          <t>Fault_1059 - 1076 At least one heater of the station is not active</t>
        </is>
      </c>
      <c r="B220" s="10" t="n">
        <v>0.1437094444444444</v>
      </c>
      <c r="C220" s="11" t="n">
        <v>3.270513753146382e-05</v>
      </c>
    </row>
    <row r="221">
      <c r="A221" t="inlineStr">
        <is>
          <t>Fault_0164 - 1A07-1B1 Main air valve basic machine pressure not present</t>
        </is>
      </c>
      <c r="B221" s="10" t="n">
        <v>0.1426113888888889</v>
      </c>
      <c r="C221" s="11" t="n">
        <v>3.245524401819848e-05</v>
      </c>
    </row>
    <row r="222">
      <c r="A222" t="inlineStr">
        <is>
          <t>Fault_1786 - 1300-2B1 End of reel</t>
        </is>
      </c>
      <c r="B222" s="10" t="n">
        <v>0.1398288888888889</v>
      </c>
      <c r="C222" s="11" t="n">
        <v>3.182200766039961e-05</v>
      </c>
    </row>
    <row r="223">
      <c r="A223" t="inlineStr">
        <is>
          <t>Alarm_1806 - 1311-1B1 Consecutive error splice detection</t>
        </is>
      </c>
      <c r="B223" s="10" t="n">
        <v>0.1389991666666666</v>
      </c>
      <c r="C223" s="11" t="n">
        <v>3.163318096570606e-05</v>
      </c>
    </row>
    <row r="224">
      <c r="A224" t="inlineStr">
        <is>
          <t>Fault_0096 - The Sercos-bus system is starting up, please wait</t>
        </is>
      </c>
      <c r="B224" s="10" t="n">
        <v>0.1364794444444444</v>
      </c>
      <c r="C224" s="11" t="n">
        <v>3.105974710311313e-05</v>
      </c>
    </row>
    <row r="225">
      <c r="A225" t="inlineStr">
        <is>
          <t>Alarm_1846 - 1404-1M1 Turntable is not in the safe position 45°</t>
        </is>
      </c>
      <c r="B225" s="10" t="n">
        <v>0.1325833333333333</v>
      </c>
      <c r="C225" s="11" t="n">
        <v>3.017307712662447e-05</v>
      </c>
    </row>
    <row r="226">
      <c r="A226" t="inlineStr">
        <is>
          <t>Fault_0705 - 1046-2B1 Web has wrapped around the vacuum belt</t>
        </is>
      </c>
      <c r="B226" s="10" t="n">
        <v>0.1314863888888889</v>
      </c>
      <c r="C226" s="11" t="n">
        <v>2.992343647803231e-05</v>
      </c>
    </row>
    <row r="227">
      <c r="A227" t="inlineStr">
        <is>
          <t>Warning_1330 - 1150 Prewarning end of reel</t>
        </is>
      </c>
      <c r="B227" s="10" t="n">
        <v>0.1309155555555556</v>
      </c>
      <c r="C227" s="11" t="n">
        <v>2.979352725218858e-05</v>
      </c>
    </row>
    <row r="228">
      <c r="A228" t="inlineStr">
        <is>
          <t>Fault_1244 - 1129-1B1 Last splice has not been detected</t>
        </is>
      </c>
      <c r="B228" s="10" t="n">
        <v>0.1304983333333333</v>
      </c>
      <c r="C228" s="11" t="n">
        <v>2.969857656741131e-05</v>
      </c>
    </row>
    <row r="229">
      <c r="A229" t="inlineStr">
        <is>
          <t>Alarm_1682 - 1211-4B2 Limit switch fault Gripper B in home position</t>
        </is>
      </c>
      <c r="B229" s="10" t="n">
        <v>0.1299436111111111</v>
      </c>
      <c r="C229" s="11" t="n">
        <v>2.957233387932862e-05</v>
      </c>
    </row>
    <row r="230">
      <c r="A230" t="inlineStr">
        <is>
          <t>Fault_1779 - 1022-9B1/15B1 Check sensor signal before starting axis</t>
        </is>
      </c>
      <c r="B230" s="10" t="n">
        <v>0.1281316666666667</v>
      </c>
      <c r="C230" s="11" t="n">
        <v>2.915997481354825e-05</v>
      </c>
    </row>
    <row r="231">
      <c r="A231" t="inlineStr">
        <is>
          <t>Alarm_0791 - 1054 Temperature not reached Heating sealing head A at the back</t>
        </is>
      </c>
      <c r="B231" s="10" t="n">
        <v>0.1262027777777778</v>
      </c>
      <c r="C231" s="11" t="n">
        <v>2.872100174091619e-05</v>
      </c>
    </row>
    <row r="232">
      <c r="A232" t="inlineStr">
        <is>
          <t>Fault_0984 - 1074 Valve right out of area - Check for valve on web</t>
        </is>
      </c>
      <c r="B232" s="10" t="n">
        <v>0.1249355555555556</v>
      </c>
      <c r="C232" s="11" t="n">
        <v>2.843260958115994e-05</v>
      </c>
    </row>
    <row r="233">
      <c r="A233" t="inlineStr">
        <is>
          <t>Fault_1366 - 1153 Prewarning end of reel</t>
        </is>
      </c>
      <c r="B233" s="10" t="n">
        <v>0.1245166666666667</v>
      </c>
      <c r="C233" s="11" t="n">
        <v>2.83372795993729e-05</v>
      </c>
    </row>
    <row r="234">
      <c r="A234" t="inlineStr">
        <is>
          <t>Alarm_1900 - 1408-3M1 Valve infeed in Z is not referenced</t>
        </is>
      </c>
      <c r="B234" s="10" t="n">
        <v>0.1231241666666666</v>
      </c>
      <c r="C234" s="11" t="n">
        <v>2.802037694771615e-05</v>
      </c>
    </row>
    <row r="235">
      <c r="A235" t="inlineStr">
        <is>
          <t>Fault_1791 - 1301-2B1 End of reel</t>
        </is>
      </c>
      <c r="B235" s="10" t="n">
        <v>0.1213111111111111</v>
      </c>
      <c r="C235" s="11" t="n">
        <v>2.760776501726261e-05</v>
      </c>
    </row>
    <row r="236">
      <c r="A236" t="inlineStr">
        <is>
          <t>Fault_1863 - 1406-5B2 Limit switch fault Linear axis extended</t>
        </is>
      </c>
      <c r="B236" s="10" t="n">
        <v>0.1185444444444444</v>
      </c>
      <c r="C236" s="11" t="n">
        <v>2.697813198105649e-05</v>
      </c>
    </row>
    <row r="237">
      <c r="A237" t="inlineStr">
        <is>
          <t>Alarm_1282 - 1141 Consecutive error guider, actuator or sensor out of range</t>
        </is>
      </c>
      <c r="B237" s="10" t="n">
        <v>0.1175594444444444</v>
      </c>
      <c r="C237" s="11" t="n">
        <v>2.675396744828672e-05</v>
      </c>
    </row>
    <row r="238">
      <c r="A238" t="inlineStr">
        <is>
          <t>Alarm_0508 - 1022 Consecutive fault side B</t>
        </is>
      </c>
      <c r="B238" s="10" t="n">
        <v>0.1168636111111111</v>
      </c>
      <c r="C238" s="11" t="n">
        <v>2.659561094671078e-05</v>
      </c>
    </row>
    <row r="239">
      <c r="A239" t="inlineStr">
        <is>
          <t>Fault_0919 - 1070-3B2 Punch waste B not exhausted</t>
        </is>
      </c>
      <c r="B239" s="10" t="n">
        <v>0.1151941666666667</v>
      </c>
      <c r="C239" s="11" t="n">
        <v>2.621568177526513e-05</v>
      </c>
    </row>
    <row r="240">
      <c r="A240" t="inlineStr">
        <is>
          <t>Alarm_1936 - 1410 Temperature not reached Heating sealing head A top</t>
        </is>
      </c>
      <c r="B240" s="10" t="n">
        <v>0.1149280555555555</v>
      </c>
      <c r="C240" s="11" t="n">
        <v>2.615512068603967e-05</v>
      </c>
    </row>
    <row r="241">
      <c r="A241" t="inlineStr">
        <is>
          <t>Fault_1864 - 1406-7B1 Limit switch fault product gripper A opened</t>
        </is>
      </c>
      <c r="B241" s="10" t="n">
        <v>0.1096280555555555</v>
      </c>
      <c r="C241" s="11" t="n">
        <v>2.494895619499422e-05</v>
      </c>
    </row>
    <row r="242">
      <c r="A242" t="inlineStr">
        <is>
          <t>Alarm_1218 - 1120-1B1 Consecutive error splice detection</t>
        </is>
      </c>
      <c r="B242" s="10" t="n">
        <v>0.1080963888888889</v>
      </c>
      <c r="C242" s="11" t="n">
        <v>2.460038224302228e-05</v>
      </c>
    </row>
    <row r="243">
      <c r="A243" t="inlineStr">
        <is>
          <t>Alarm_1084 - 1078 Temperature not reached Heating sealing head A</t>
        </is>
      </c>
      <c r="B243" s="10" t="n">
        <v>0.1048963888888889</v>
      </c>
      <c r="C243" s="11" t="n">
        <v>2.387213198427786e-05</v>
      </c>
    </row>
    <row r="244">
      <c r="A244" t="inlineStr">
        <is>
          <t>Fault_1436 - 1159-5B1 All rolls empty - Please refill!</t>
        </is>
      </c>
      <c r="B244" s="10" t="n">
        <v>0.1046247222222222</v>
      </c>
      <c r="C244" s="11" t="n">
        <v>2.381030657168653e-05</v>
      </c>
    </row>
    <row r="245">
      <c r="A245" t="inlineStr">
        <is>
          <t>Alarm_1232 - 1125-1B1 Last splice has not been detected</t>
        </is>
      </c>
      <c r="B245" s="10" t="n">
        <v>0.1024008333333333</v>
      </c>
      <c r="C245" s="11" t="n">
        <v>2.330419792832647e-05</v>
      </c>
    </row>
    <row r="246">
      <c r="A246" t="inlineStr">
        <is>
          <t>Alarm_1242 - 1128-1B1 Consecutive error splice detection</t>
        </is>
      </c>
      <c r="B246" s="10" t="n">
        <v>0.09753305555555555</v>
      </c>
      <c r="C246" s="11" t="n">
        <v>2.219639779514615e-05</v>
      </c>
    </row>
    <row r="247">
      <c r="A247" t="inlineStr">
        <is>
          <t>Fault_0164 - 1A02-5T2 Battery in external UPS must be checked</t>
        </is>
      </c>
      <c r="B247" s="10" t="n">
        <v>0.09251666666666666</v>
      </c>
      <c r="C247" s="11" t="n">
        <v>2.105477701192866e-05</v>
      </c>
    </row>
    <row r="248">
      <c r="A248" t="inlineStr">
        <is>
          <t>Alarm_1327 - 1150-1B1 Calibration error</t>
        </is>
      </c>
      <c r="B248" s="10" t="n">
        <v>0.09251305555555554</v>
      </c>
      <c r="C248" s="11" t="n">
        <v>2.105395520174083e-05</v>
      </c>
    </row>
    <row r="249">
      <c r="A249" t="inlineStr">
        <is>
          <t>Alarm_1678</t>
        </is>
      </c>
      <c r="B249" s="10" t="n">
        <v>0.09154805555555555</v>
      </c>
      <c r="C249" s="11" t="n">
        <v>2.083434223308822e-05</v>
      </c>
    </row>
    <row r="250">
      <c r="A250" t="inlineStr">
        <is>
          <t>Alarm_1346 - 1151-1M1 unwinder has reached adjusted current limit</t>
        </is>
      </c>
      <c r="B250" s="10" t="n">
        <v>0.09084611111111111</v>
      </c>
      <c r="C250" s="11" t="n">
        <v>2.067459497580982e-05</v>
      </c>
    </row>
    <row r="251">
      <c r="A251" t="inlineStr">
        <is>
          <t>Alarm_1376 - 1155-1B1 Web torn</t>
        </is>
      </c>
      <c r="B251" s="10" t="n">
        <v>0.090575</v>
      </c>
      <c r="C251" s="11" t="n">
        <v>2.061289599555509e-05</v>
      </c>
    </row>
    <row r="252">
      <c r="A252" t="inlineStr">
        <is>
          <t>Alarm_1228 - 1123-1B1 Last splice has not been detected</t>
        </is>
      </c>
      <c r="B252" s="10" t="n">
        <v>0.09015944444444444</v>
      </c>
      <c r="C252" s="11" t="n">
        <v>2.051832460778758e-05</v>
      </c>
    </row>
    <row r="253">
      <c r="A253" t="inlineStr">
        <is>
          <t>Alarm_1902 - 1408-4B1 Limit switch fault Foil lifted</t>
        </is>
      </c>
      <c r="B253" s="10" t="n">
        <v>0.09000666666666665</v>
      </c>
      <c r="C253" s="11" t="n">
        <v>2.0483555715226e-05</v>
      </c>
    </row>
    <row r="254">
      <c r="A254" t="inlineStr">
        <is>
          <t>Fault_1435 - 1159-6GQ1 Vacuum splice module not present</t>
        </is>
      </c>
      <c r="B254" s="10" t="n">
        <v>0.08862916666666666</v>
      </c>
      <c r="C254" s="11" t="n">
        <v>2.017006673665711e-05</v>
      </c>
    </row>
    <row r="255">
      <c r="A255" t="inlineStr">
        <is>
          <t>Fault_1639 - 1200 Safety guards not closed</t>
        </is>
      </c>
      <c r="B255" s="10" t="n">
        <v>0.0870925</v>
      </c>
      <c r="C255" s="11" t="n">
        <v>1.982035489365588e-05</v>
      </c>
    </row>
    <row r="256">
      <c r="A256" t="inlineStr">
        <is>
          <t>Warning_0268</t>
        </is>
      </c>
      <c r="B256" s="10" t="n">
        <v>0.08642555555555556</v>
      </c>
      <c r="C256" s="11" t="n">
        <v>1.96685728735825e-05</v>
      </c>
    </row>
    <row r="257">
      <c r="A257" t="inlineStr">
        <is>
          <t>Alarm_1043 - 1076-7B2 Limit switch fault Shield plate retracted</t>
        </is>
      </c>
      <c r="B257" s="10" t="n">
        <v>0.08430666666666667</v>
      </c>
      <c r="C257" s="11" t="n">
        <v>1.918635994183749e-05</v>
      </c>
    </row>
    <row r="258">
      <c r="A258" t="inlineStr">
        <is>
          <t>Alarm_0908 - 1070-4B1 Limit switch fault Counterholder extended</t>
        </is>
      </c>
      <c r="B258" s="10" t="n">
        <v>0.0794436111111111</v>
      </c>
      <c r="C258" s="11" t="n">
        <v>1.807963448351817e-05</v>
      </c>
    </row>
    <row r="259">
      <c r="A259" t="inlineStr">
        <is>
          <t>Warning_0014</t>
        </is>
      </c>
      <c r="B259" s="10" t="n">
        <v>0.07860138888888889</v>
      </c>
      <c r="C259" s="11" t="n">
        <v>1.78879630612514e-05</v>
      </c>
    </row>
    <row r="260">
      <c r="A260" t="inlineStr">
        <is>
          <t>Alarm_1370 - 1153-1M1 unwinder has reached adjusted current limit</t>
        </is>
      </c>
      <c r="B260" s="10" t="n">
        <v>0.07568527777777778</v>
      </c>
      <c r="C260" s="11" t="n">
        <v>1.722431972650323e-05</v>
      </c>
    </row>
    <row r="261">
      <c r="A261" t="inlineStr">
        <is>
          <t>Alarm_1681 - 1211-4B1 Limit switch fault Gripper B in working position</t>
        </is>
      </c>
      <c r="B261" s="10" t="n">
        <v>0.07304083333333333</v>
      </c>
      <c r="C261" s="11" t="n">
        <v>1.662250180434638e-05</v>
      </c>
    </row>
    <row r="262">
      <c r="A262" t="inlineStr">
        <is>
          <t>Warning_1838 - 1400-3B2 Infeed valve maximum product level permanently not reached</t>
        </is>
      </c>
      <c r="B262" s="10" t="n">
        <v>0.07234527777777777</v>
      </c>
      <c r="C262" s="11" t="n">
        <v>1.646420851893874e-05</v>
      </c>
    </row>
    <row r="263">
      <c r="A263" t="inlineStr">
        <is>
          <t>Alarm_0471 - 1020-7B2 Punch waste B not exhausted</t>
        </is>
      </c>
      <c r="B263" s="10" t="n">
        <v>0.07039638888888888</v>
      </c>
      <c r="C263" s="11" t="n">
        <v>1.602068388218952e-05</v>
      </c>
    </row>
    <row r="264">
      <c r="A264" t="inlineStr">
        <is>
          <t>Fault_1199 - 1090-1B1 Web torn</t>
        </is>
      </c>
      <c r="B264" s="10" t="n">
        <v>0.07025805555555555</v>
      </c>
      <c r="C264" s="11" t="n">
        <v>1.598920223037922e-05</v>
      </c>
    </row>
    <row r="265">
      <c r="A265" t="inlineStr">
        <is>
          <t>Alarm_0542 - 1026-1B1 Consecutive fault camera bad part side A</t>
        </is>
      </c>
      <c r="B265" s="10" t="n">
        <v>0.06816833333333333</v>
      </c>
      <c r="C265" s="11" t="n">
        <v>1.551362699630506e-05</v>
      </c>
    </row>
    <row r="266">
      <c r="A266" t="inlineStr">
        <is>
          <t>Alarm_1375 - 1155-1B1 Calibration error</t>
        </is>
      </c>
      <c r="B266" s="10" t="n">
        <v>0.06775277777777777</v>
      </c>
      <c r="C266" s="11" t="n">
        <v>1.541905560853756e-05</v>
      </c>
    </row>
    <row r="267">
      <c r="A267" t="inlineStr">
        <is>
          <t>Alarm_0132 - SIKO diagnosis error. See SIKO settings &gt; Device ID</t>
        </is>
      </c>
      <c r="B267" s="10" t="n">
        <v>0.06553527777777778</v>
      </c>
      <c r="C267" s="11" t="n">
        <v>1.491440093704826e-05</v>
      </c>
    </row>
    <row r="268">
      <c r="A268" t="inlineStr">
        <is>
          <t>Alarm_1872</t>
        </is>
      </c>
      <c r="B268" s="10" t="n">
        <v>0.06511638888888889</v>
      </c>
      <c r="C268" s="11" t="n">
        <v>1.481907095526123e-05</v>
      </c>
    </row>
    <row r="269">
      <c r="A269" t="inlineStr">
        <is>
          <t>Alarm_1896 - 1408-2M1 Valve infeed in Y is not referenced</t>
        </is>
      </c>
      <c r="B269" s="10" t="n">
        <v>0.06427861111111111</v>
      </c>
      <c r="C269" s="11" t="n">
        <v>1.462841099168716e-05</v>
      </c>
    </row>
    <row r="270">
      <c r="A270" t="inlineStr">
        <is>
          <t>Alarm_1220 - 1121-1B1 Last splice has not been detected</t>
        </is>
      </c>
      <c r="B270" s="10" t="n">
        <v>0.06414055555555556</v>
      </c>
      <c r="C270" s="11" t="n">
        <v>1.459699255604515e-05</v>
      </c>
    </row>
    <row r="271">
      <c r="A271" t="inlineStr">
        <is>
          <t>Alarm_0251 - MSM-Bulge B: At least one station takes longer than maximum allowed</t>
        </is>
      </c>
      <c r="B271" s="10" t="n">
        <v>0.06399916666666666</v>
      </c>
      <c r="C271" s="11" t="n">
        <v>1.456481552638361e-05</v>
      </c>
    </row>
    <row r="272">
      <c r="A272" t="inlineStr">
        <is>
          <t>Warning_1965 - 1412 Bad parts box is full, please empty!</t>
        </is>
      </c>
      <c r="B272" s="10" t="n">
        <v>0.06107666666666667</v>
      </c>
      <c r="C272" s="11" t="n">
        <v>1.389971821976468e-05</v>
      </c>
    </row>
    <row r="273">
      <c r="A273" t="inlineStr">
        <is>
          <t>Alarm_1871</t>
        </is>
      </c>
      <c r="B273" s="10" t="n">
        <v>0.06050861111111111</v>
      </c>
      <c r="C273" s="11" t="n">
        <v>1.377044115560389e-05</v>
      </c>
    </row>
    <row r="274">
      <c r="A274" t="inlineStr">
        <is>
          <t>Alarm_1852 - 1406-1B3 Limit switch fault Pre stopper B closed</t>
        </is>
      </c>
      <c r="B274" s="10" t="n">
        <v>0.05968138888888889</v>
      </c>
      <c r="C274" s="11" t="n">
        <v>1.358218340642499e-05</v>
      </c>
    </row>
    <row r="275">
      <c r="A275" t="inlineStr">
        <is>
          <t>Alarm_0185 - 1A07-14K1 Camera PC not connected</t>
        </is>
      </c>
      <c r="B275" s="10" t="n">
        <v>0.05940722222222222</v>
      </c>
      <c r="C275" s="11" t="n">
        <v>1.351978904831902e-05</v>
      </c>
    </row>
    <row r="276">
      <c r="A276" t="inlineStr">
        <is>
          <t>Alarm_1280 - 1141-1T1 Web guiding not ready for operation</t>
        </is>
      </c>
      <c r="B276" s="10" t="n">
        <v>0.05857388888888889</v>
      </c>
      <c r="C276" s="11" t="n">
        <v>1.333014054343766e-05</v>
      </c>
    </row>
    <row r="277">
      <c r="A277" t="inlineStr">
        <is>
          <t>Alarm_0968 - 1073-7B1 Flow monitor flowrate not ok</t>
        </is>
      </c>
      <c r="B277" s="10" t="n">
        <v>0.05801305555555555</v>
      </c>
      <c r="C277" s="11" t="n">
        <v>1.320250709965251e-05</v>
      </c>
    </row>
    <row r="278">
      <c r="A278" t="inlineStr">
        <is>
          <t>Alarm_0461 - 1020-6B1 Limit switch fault Counterholder extended</t>
        </is>
      </c>
      <c r="B278" s="10" t="n">
        <v>0.05662055555555556</v>
      </c>
      <c r="C278" s="11" t="n">
        <v>1.288560444799576e-05</v>
      </c>
    </row>
    <row r="279">
      <c r="A279" t="inlineStr">
        <is>
          <t>Alarm_1801 - 1310-1B1 Consecutive error splice detection</t>
        </is>
      </c>
      <c r="B279" s="10" t="n">
        <v>0.05634805555555555</v>
      </c>
      <c r="C279" s="11" t="n">
        <v>1.282358938689955e-05</v>
      </c>
    </row>
    <row r="280">
      <c r="A280" t="inlineStr">
        <is>
          <t>Alarm_0859 - 1061-10B1 Limit switch fault Sealing head A front in working position</t>
        </is>
      </c>
      <c r="B280" s="10" t="n">
        <v>0.05315166666666667</v>
      </c>
      <c r="C280" s="11" t="n">
        <v>1.209616093834294e-05</v>
      </c>
    </row>
    <row r="281">
      <c r="A281" t="inlineStr">
        <is>
          <t>Alarm_1195</t>
        </is>
      </c>
      <c r="B281" s="10" t="n">
        <v>0.05245277777777778</v>
      </c>
      <c r="C281" s="11" t="n">
        <v>1.193710905891578e-05</v>
      </c>
    </row>
    <row r="282">
      <c r="A282" t="inlineStr">
        <is>
          <t>Alarm_1224 - 1122-1B1 Last splice has not been detected</t>
        </is>
      </c>
      <c r="B282" s="10" t="n">
        <v>0.05219472222222222</v>
      </c>
      <c r="C282" s="11" t="n">
        <v>1.187838123857085e-05</v>
      </c>
    </row>
    <row r="283">
      <c r="A283" t="inlineStr">
        <is>
          <t>Fault_0442 - 1018-16B1/16B2 Foil not in transport chain</t>
        </is>
      </c>
      <c r="B283" s="10" t="n">
        <v>0.05190222222222222</v>
      </c>
      <c r="C283" s="11" t="n">
        <v>1.181181461335749e-05</v>
      </c>
    </row>
    <row r="284">
      <c r="A284" t="inlineStr">
        <is>
          <t>Alarm_1637 - 1200-1M1 Oval transport has reached adjusted current limit</t>
        </is>
      </c>
      <c r="B284" s="10" t="n">
        <v>0.05106388888888889</v>
      </c>
      <c r="C284" s="11" t="n">
        <v>1.162102821744684e-05</v>
      </c>
    </row>
    <row r="285">
      <c r="A285" t="inlineStr">
        <is>
          <t>Alarm_0888 - 1068 Temperature not reached Heating sealing head front</t>
        </is>
      </c>
      <c r="B285" s="10" t="n">
        <v>0.05105638888888889</v>
      </c>
      <c r="C285" s="11" t="n">
        <v>1.161932138090291e-05</v>
      </c>
    </row>
    <row r="286">
      <c r="A286" t="inlineStr">
        <is>
          <t>Alarm_1934 - 1410-1QM3 Fault Sealing head A and B at the back closing pressure out of tolerance</t>
        </is>
      </c>
      <c r="B286" s="10" t="n">
        <v>0.05078694444444444</v>
      </c>
      <c r="C286" s="11" t="n">
        <v>1.155800169765793e-05</v>
      </c>
    </row>
    <row r="287">
      <c r="A287" t="inlineStr">
        <is>
          <t>Alarm_1302 - 1145 Consecutive error guider, actuator or sensor out of range</t>
        </is>
      </c>
      <c r="B287" s="10" t="n">
        <v>0.04966555555555555</v>
      </c>
      <c r="C287" s="11" t="n">
        <v>1.130279802625592e-05</v>
      </c>
    </row>
    <row r="288">
      <c r="A288" t="inlineStr">
        <is>
          <t>Alarm_0502 - 1022 Temperature not reached Heating A</t>
        </is>
      </c>
      <c r="B288" s="10" t="n">
        <v>0.048975</v>
      </c>
      <c r="C288" s="11" t="n">
        <v>1.114564263187756e-05</v>
      </c>
    </row>
    <row r="289">
      <c r="A289" t="inlineStr">
        <is>
          <t>Alarm_1053 - 1076 Consecutive fault side B</t>
        </is>
      </c>
      <c r="B289" s="10" t="n">
        <v>0.04785833333333333</v>
      </c>
      <c r="C289" s="11" t="n">
        <v>1.089151363533654e-05</v>
      </c>
    </row>
    <row r="290">
      <c r="A290" t="inlineStr">
        <is>
          <t>Alarm_1599 - 1186-1K1 Consecutive fault tension out of tolerance</t>
        </is>
      </c>
      <c r="B290" s="10" t="n">
        <v>0.04479916666666667</v>
      </c>
      <c r="C290" s="11" t="n">
        <v>1.019531397391707e-05</v>
      </c>
    </row>
    <row r="291">
      <c r="A291" t="inlineStr">
        <is>
          <t>Alarm_1938 - 1410 Temperature not reached Heating sealing head B top</t>
        </is>
      </c>
      <c r="B291" s="10" t="n">
        <v>0.04299611111111111</v>
      </c>
      <c r="C291" s="11" t="n">
        <v>9.784977825522096e-06</v>
      </c>
    </row>
    <row r="292">
      <c r="A292" t="inlineStr">
        <is>
          <t>Alarm_1657</t>
        </is>
      </c>
      <c r="B292" s="10" t="n">
        <v>0.04105138888888889</v>
      </c>
      <c r="C292" s="11" t="n">
        <v>9.342401431297293e-06</v>
      </c>
    </row>
    <row r="293">
      <c r="A293" t="inlineStr">
        <is>
          <t>Fault_1328 - 1150-1B1 Web torn</t>
        </is>
      </c>
      <c r="B293" s="10" t="n">
        <v>0.04063083333333333</v>
      </c>
      <c r="C293" s="11" t="n">
        <v>9.2466921525005e-06</v>
      </c>
    </row>
    <row r="294">
      <c r="A294" t="inlineStr">
        <is>
          <t>Fault_0732 - 1050-2K1 Hot printer A not ready for operation</t>
        </is>
      </c>
      <c r="B294" s="10" t="n">
        <v>0.04007111111111111</v>
      </c>
      <c r="C294" s="11" t="n">
        <v>9.119311573388521e-06</v>
      </c>
    </row>
    <row r="295">
      <c r="A295" t="inlineStr">
        <is>
          <t>Alarm_0391 - 1016-2M1 Outfeed has reached adjusted current limit</t>
        </is>
      </c>
      <c r="B295" s="10" t="n">
        <v>0.03954888888888889</v>
      </c>
      <c r="C295" s="11" t="n">
        <v>9.0004651769962e-06</v>
      </c>
    </row>
    <row r="296">
      <c r="A296" t="inlineStr">
        <is>
          <t>Alarm_0420 - 1018-6B2 Limit switch fault Shield plate retracted</t>
        </is>
      </c>
      <c r="B296" s="10" t="n">
        <v>0.03926833333333334</v>
      </c>
      <c r="C296" s="11" t="n">
        <v>8.936616847019477e-06</v>
      </c>
    </row>
    <row r="297">
      <c r="A297" t="inlineStr">
        <is>
          <t>Alarm_1850 - 1406-1B1 Limit switch fault Pre stopper A closed</t>
        </is>
      </c>
      <c r="B297" s="10" t="n">
        <v>0.03909916666666667</v>
      </c>
      <c r="C297" s="11" t="n">
        <v>8.89811820052856e-06</v>
      </c>
    </row>
    <row r="298">
      <c r="A298" t="inlineStr">
        <is>
          <t>Alarm_1052 - 1076 Consecutive fault side A</t>
        </is>
      </c>
      <c r="B298" s="10" t="n">
        <v>0.035615</v>
      </c>
      <c r="C298" s="11" t="n">
        <v>8.105197801619591e-06</v>
      </c>
    </row>
    <row r="299">
      <c r="A299" t="inlineStr">
        <is>
          <t>Fault_1342 - 1151 Prewarning end of reel</t>
        </is>
      </c>
      <c r="B299" s="10" t="n">
        <v>0.0352</v>
      </c>
      <c r="C299" s="11" t="n">
        <v>8.010752846188674e-06</v>
      </c>
    </row>
    <row r="300">
      <c r="A300" t="inlineStr">
        <is>
          <t>Alarm_0038 - 1A03-1K1:CN10 Fault in the Profibus system, for details see Diagnosis &gt; Profibus, Address:</t>
        </is>
      </c>
      <c r="B300" s="10" t="n">
        <v>0.03464166666666667</v>
      </c>
      <c r="C300" s="11" t="n">
        <v>7.883688347918162e-06</v>
      </c>
    </row>
    <row r="301">
      <c r="A301" t="inlineStr">
        <is>
          <t>Alarm_1340 - 1151-1B1 Web torn</t>
        </is>
      </c>
      <c r="B301" s="10" t="n">
        <v>0.03257055555555555</v>
      </c>
      <c r="C301" s="11" t="n">
        <v>7.412348597119686e-06</v>
      </c>
    </row>
    <row r="302">
      <c r="A302" t="inlineStr">
        <is>
          <t>Fault_1944 - 1410 Temperature not reached Heating sealing head A bottom</t>
        </is>
      </c>
      <c r="B302" s="10" t="n">
        <v>0.03213805555555556</v>
      </c>
      <c r="C302" s="11" t="n">
        <v>7.313921023086261e-06</v>
      </c>
    </row>
    <row r="303">
      <c r="A303" t="inlineStr">
        <is>
          <t>Alarm_0615 - 1036-2QM3 Fault Sealing head A and B closing pressure out of tolerance</t>
        </is>
      </c>
      <c r="B303" s="10" t="n">
        <v>0.03032944444444444</v>
      </c>
      <c r="C303" s="11" t="n">
        <v>6.902320551325414e-06</v>
      </c>
    </row>
    <row r="304">
      <c r="A304" t="inlineStr">
        <is>
          <t>Alarm_0856 - 1061 Temperature not reached Heating sealing head A at the back</t>
        </is>
      </c>
      <c r="B304" s="10" t="n">
        <v>0.02880277777777777</v>
      </c>
      <c r="C304" s="11" t="n">
        <v>6.554884490382761e-06</v>
      </c>
    </row>
    <row r="305">
      <c r="A305" t="inlineStr">
        <is>
          <t>Fault_0005 - Fault in the controller, see Diagnosis &gt; Servo:</t>
        </is>
      </c>
      <c r="B305" s="10" t="n">
        <v>0.027965</v>
      </c>
      <c r="C305" s="11" t="n">
        <v>6.364224526808701e-06</v>
      </c>
    </row>
    <row r="306">
      <c r="A306" t="inlineStr">
        <is>
          <t>Fault_0420 - 1018-6B2 Limit switch fault Shield plate retracted</t>
        </is>
      </c>
      <c r="B306" s="10" t="n">
        <v>0.02587666666666667</v>
      </c>
      <c r="C306" s="11" t="n">
        <v>5.88896537357601e-06</v>
      </c>
    </row>
    <row r="307">
      <c r="A307" t="inlineStr">
        <is>
          <t>Alarm_1480 - 1173-2B1 Station not closed</t>
        </is>
      </c>
      <c r="B307" s="10" t="n">
        <v>0.02573694444444444</v>
      </c>
      <c r="C307" s="11" t="n">
        <v>5.857167640924236e-06</v>
      </c>
    </row>
    <row r="308">
      <c r="A308" t="inlineStr">
        <is>
          <t>Fault_1874 - 1406 Consecutive fault side B</t>
        </is>
      </c>
      <c r="B308" s="10" t="n">
        <v>0.02545722222222222</v>
      </c>
      <c r="C308" s="11" t="n">
        <v>5.793508959452392e-06</v>
      </c>
    </row>
    <row r="309">
      <c r="A309" t="inlineStr">
        <is>
          <t>Fault_1838 - 1400-3B2 Infeed valve maximum product level permanently not reached</t>
        </is>
      </c>
      <c r="B309" s="10" t="n">
        <v>0.02337138888888889</v>
      </c>
      <c r="C309" s="11" t="n">
        <v>5.318818751734347e-06</v>
      </c>
    </row>
    <row r="310">
      <c r="A310" t="inlineStr">
        <is>
          <t>Fault_1123 - 1082-3B1 Limit switch fault Push out piston lowered</t>
        </is>
      </c>
      <c r="B310" s="10" t="n">
        <v>0.02268</v>
      </c>
      <c r="C310" s="11" t="n">
        <v>5.161473708851112e-06</v>
      </c>
    </row>
    <row r="311">
      <c r="A311" t="inlineStr">
        <is>
          <t>Alarm_0667</t>
        </is>
      </c>
      <c r="B311" s="10" t="n">
        <v>0.02239833333333334</v>
      </c>
      <c r="C311" s="11" t="n">
        <v>5.097372514201212e-06</v>
      </c>
    </row>
    <row r="312">
      <c r="A312" t="inlineStr">
        <is>
          <t>Alarm_1685 - 1211 Cylinder manual mode active - starting machine not possible</t>
        </is>
      </c>
      <c r="B312" s="10" t="n">
        <v>0.02239638888888889</v>
      </c>
      <c r="C312" s="11" t="n">
        <v>5.096930001023155e-06</v>
      </c>
    </row>
    <row r="313">
      <c r="A313" t="inlineStr">
        <is>
          <t>Alarm_1415</t>
        </is>
      </c>
      <c r="B313" s="10" t="n">
        <v>0.02198305555555555</v>
      </c>
      <c r="C313" s="11" t="n">
        <v>5.002864342601999e-06</v>
      </c>
    </row>
    <row r="314">
      <c r="A314" t="inlineStr">
        <is>
          <t>Alarm_1733</t>
        </is>
      </c>
      <c r="B314" s="10" t="n">
        <v>0.02198277777777778</v>
      </c>
      <c r="C314" s="11" t="n">
        <v>5.002801126433706e-06</v>
      </c>
    </row>
    <row r="315">
      <c r="A315" t="inlineStr">
        <is>
          <t>Fault_1722 - 1A02-5T2 Battery in external UPS must be checked</t>
        </is>
      </c>
      <c r="B315" s="10" t="n">
        <v>0.02128888888888889</v>
      </c>
      <c r="C315" s="11" t="n">
        <v>4.844887138035826e-06</v>
      </c>
    </row>
    <row r="316">
      <c r="A316" t="inlineStr">
        <is>
          <t>Alarm_1779</t>
        </is>
      </c>
      <c r="B316" s="10" t="n">
        <v>0.02017111111111111</v>
      </c>
      <c r="C316" s="11" t="n">
        <v>4.590505276821628e-06</v>
      </c>
    </row>
    <row r="317">
      <c r="A317" t="inlineStr">
        <is>
          <t>Fault_1856 - 1406-2B3 Limit switch fault Stopper B opened</t>
        </is>
      </c>
      <c r="B317" s="10" t="n">
        <v>0.019475</v>
      </c>
      <c r="C317" s="11" t="n">
        <v>4.432085559077398e-06</v>
      </c>
    </row>
    <row r="318">
      <c r="A318" t="inlineStr">
        <is>
          <t>Fault_0234 - At least one shift register entry has an alarm when writing</t>
        </is>
      </c>
      <c r="B318" s="10" t="n">
        <v>0.01919916666666667</v>
      </c>
      <c r="C318" s="11" t="n">
        <v>4.369311903961667e-06</v>
      </c>
    </row>
    <row r="319">
      <c r="A319" t="inlineStr">
        <is>
          <t>Alarm_1400 - 1158-2B1 Station not closed</t>
        </is>
      </c>
      <c r="B319" s="10" t="n">
        <v>0.01892222222222222</v>
      </c>
      <c r="C319" s="11" t="n">
        <v>4.306285384172762e-06</v>
      </c>
    </row>
    <row r="320">
      <c r="A320" t="inlineStr">
        <is>
          <t>Fault_0927 - 1072-2B1 Limit switch fault Sealing head in working position</t>
        </is>
      </c>
      <c r="B320" s="10" t="n">
        <v>0.01878611111111111</v>
      </c>
      <c r="C320" s="11" t="n">
        <v>4.275309461708806e-06</v>
      </c>
    </row>
    <row r="321">
      <c r="A321" t="inlineStr">
        <is>
          <t>Alarm_0985</t>
        </is>
      </c>
      <c r="B321" s="10" t="n">
        <v>0.01864333333333333</v>
      </c>
      <c r="C321" s="11" t="n">
        <v>4.2428163512058e-06</v>
      </c>
    </row>
    <row r="322">
      <c r="A322" t="inlineStr">
        <is>
          <t>Alarm_0247</t>
        </is>
      </c>
      <c r="B322" s="10" t="n">
        <v>0.01850611111111111</v>
      </c>
      <c r="C322" s="11" t="n">
        <v>4.21158756406867e-06</v>
      </c>
    </row>
    <row r="323">
      <c r="A323" t="inlineStr">
        <is>
          <t>Alarm_0673 - 1038 Consecutive fault side A</t>
        </is>
      </c>
      <c r="B323" s="10" t="n">
        <v>0.0183675</v>
      </c>
      <c r="C323" s="11" t="n">
        <v>4.18004269609007e-06</v>
      </c>
    </row>
    <row r="324">
      <c r="A324" t="inlineStr">
        <is>
          <t>Alarm_1605 - 1187-1K1 Consecutive fault tension out of tolerance</t>
        </is>
      </c>
      <c r="B324" s="10" t="n">
        <v>0.01739166666666667</v>
      </c>
      <c r="C324" s="11" t="n">
        <v>3.957964296873997e-06</v>
      </c>
    </row>
    <row r="325">
      <c r="A325" t="inlineStr">
        <is>
          <t>Fault_1240 - 1128-1B1 Last splice has not been detected</t>
        </is>
      </c>
      <c r="B325" s="10" t="n">
        <v>0.01697527777777778</v>
      </c>
      <c r="C325" s="11" t="n">
        <v>3.863203260601609e-06</v>
      </c>
    </row>
    <row r="326">
      <c r="A326" t="inlineStr">
        <is>
          <t>Fault_1862 - 1406-5B1 Limit switch fault Linear axis retracted</t>
        </is>
      </c>
      <c r="B326" s="10" t="n">
        <v>0.01641777777777778</v>
      </c>
      <c r="C326" s="11" t="n">
        <v>3.73632841083598e-06</v>
      </c>
    </row>
    <row r="327">
      <c r="A327" t="inlineStr">
        <is>
          <t>Alarm_0705</t>
        </is>
      </c>
      <c r="B327" s="10" t="n">
        <v>0.01627805555555556</v>
      </c>
      <c r="C327" s="11" t="n">
        <v>3.704530678184205e-06</v>
      </c>
    </row>
    <row r="328">
      <c r="A328" t="inlineStr">
        <is>
          <t>Alarm_1305 - 1146-1T1 Web guiding not ready for operation</t>
        </is>
      </c>
      <c r="B328" s="10" t="n">
        <v>0.01516083333333333</v>
      </c>
      <c r="C328" s="11" t="n">
        <v>3.450275249306594e-06</v>
      </c>
    </row>
    <row r="329">
      <c r="A329" t="inlineStr">
        <is>
          <t>Alarm_0653 - 1038-3B1 Limit switch fault Sealing head A in working position</t>
        </is>
      </c>
      <c r="B329" s="10" t="n">
        <v>0.01488527777777778</v>
      </c>
      <c r="C329" s="11" t="n">
        <v>3.387564810359157e-06</v>
      </c>
    </row>
    <row r="330">
      <c r="A330" t="inlineStr">
        <is>
          <t>Fault_0680 - 1A02-5T2 Battery in external UPS must be checked</t>
        </is>
      </c>
      <c r="B330" s="10" t="n">
        <v>0.01363527777777778</v>
      </c>
      <c r="C330" s="11" t="n">
        <v>3.103092053037117e-06</v>
      </c>
    </row>
    <row r="331">
      <c r="A331" t="inlineStr">
        <is>
          <t>Warning_1354 - 1152 Prewarning end of reel</t>
        </is>
      </c>
      <c r="B331" s="10" t="n">
        <v>0.01335666666666667</v>
      </c>
      <c r="C331" s="11" t="n">
        <v>3.039686236238448e-06</v>
      </c>
    </row>
    <row r="332">
      <c r="A332" t="inlineStr">
        <is>
          <t>Alarm_1424</t>
        </is>
      </c>
      <c r="B332" s="10" t="n">
        <v>0.01335472222222222</v>
      </c>
      <c r="C332" s="11" t="n">
        <v>3.039243723060392e-06</v>
      </c>
    </row>
    <row r="333">
      <c r="A333" t="inlineStr">
        <is>
          <t>Alarm_1661 - 1210-4B2 Limit switch fault Gripper A in home position</t>
        </is>
      </c>
      <c r="B333" s="10" t="n">
        <v>0.0132175</v>
      </c>
      <c r="C333" s="11" t="n">
        <v>3.008014935923261e-06</v>
      </c>
    </row>
    <row r="334">
      <c r="A334" t="inlineStr">
        <is>
          <t>Alarm_1753</t>
        </is>
      </c>
      <c r="B334" s="10" t="n">
        <v>0.01307583333333333</v>
      </c>
      <c r="C334" s="11" t="n">
        <v>2.97577469009343e-06</v>
      </c>
    </row>
    <row r="335">
      <c r="A335" t="inlineStr">
        <is>
          <t>Alarm_1404</t>
        </is>
      </c>
      <c r="B335" s="10" t="n">
        <v>0.01293472222222222</v>
      </c>
      <c r="C335" s="11" t="n">
        <v>2.943660876600186e-06</v>
      </c>
    </row>
    <row r="336">
      <c r="A336" t="inlineStr">
        <is>
          <t>Alarm_0442</t>
        </is>
      </c>
      <c r="B336" s="10" t="n">
        <v>0.01265472222222222</v>
      </c>
      <c r="C336" s="11" t="n">
        <v>2.879938978960049e-06</v>
      </c>
    </row>
    <row r="337">
      <c r="A337" t="inlineStr">
        <is>
          <t>Fault_1805 - 1311-1B1 Last splice has not been detected</t>
        </is>
      </c>
      <c r="B337" s="10" t="n">
        <v>0.01196472222222222</v>
      </c>
      <c r="C337" s="11" t="n">
        <v>2.722910016918282e-06</v>
      </c>
    </row>
    <row r="338">
      <c r="A338" t="inlineStr">
        <is>
          <t>Alarm_1636 - 1200-1M1 Oval transport is not referenced</t>
        </is>
      </c>
      <c r="B338" s="10" t="n">
        <v>0.01196388888888889</v>
      </c>
      <c r="C338" s="11" t="n">
        <v>2.722720368413401e-06</v>
      </c>
    </row>
    <row r="339">
      <c r="A339" t="inlineStr">
        <is>
          <t>Alarm_1086 - 1078 Temperature not reached Heating sealing head B</t>
        </is>
      </c>
      <c r="B339" s="10" t="n">
        <v>0.01182388888888889</v>
      </c>
      <c r="C339" s="11" t="n">
        <v>2.690859419593332e-06</v>
      </c>
    </row>
    <row r="340">
      <c r="A340" t="inlineStr">
        <is>
          <t>Alarm_0783 - 1054-2QM3 Fault Sealing head A and B at the back closing pressure out of tolerance</t>
        </is>
      </c>
      <c r="B340" s="10" t="n">
        <v>0.01140638888888889</v>
      </c>
      <c r="C340" s="11" t="n">
        <v>2.59584551864777e-06</v>
      </c>
    </row>
    <row r="341">
      <c r="A341" t="inlineStr">
        <is>
          <t>Alarm_0843 - 1061-2B1 Limit switch fault Sealing head A at the back in working position</t>
        </is>
      </c>
      <c r="B341" s="10" t="n">
        <v>0.01127027777777778</v>
      </c>
      <c r="C341" s="11" t="n">
        <v>2.564869596183815e-06</v>
      </c>
    </row>
    <row r="342">
      <c r="A342" t="inlineStr">
        <is>
          <t>Alarm_0680</t>
        </is>
      </c>
      <c r="B342" s="10" t="n">
        <v>0.01126944444444444</v>
      </c>
      <c r="C342" s="11" t="n">
        <v>2.564679947678934e-06</v>
      </c>
    </row>
    <row r="343">
      <c r="A343" t="inlineStr">
        <is>
          <t>Alarm_1167</t>
        </is>
      </c>
      <c r="B343" s="10" t="n">
        <v>0.01099111111111111</v>
      </c>
      <c r="C343" s="11" t="n">
        <v>2.501337347048559e-06</v>
      </c>
    </row>
    <row r="344">
      <c r="A344" t="inlineStr">
        <is>
          <t>Alarm_1939 - 1410-4B1 Limit switch fault Sealing head A bottom in working position</t>
        </is>
      </c>
      <c r="B344" s="10" t="n">
        <v>0.01071111111111111</v>
      </c>
      <c r="C344" s="11" t="n">
        <v>2.437615449408422e-06</v>
      </c>
    </row>
    <row r="345">
      <c r="A345" t="inlineStr">
        <is>
          <t>Alarm_0613 - 1036-2B3 Limit switch fault Sealing head B in working position</t>
        </is>
      </c>
      <c r="B345" s="10" t="n">
        <v>0.01029527777777778</v>
      </c>
      <c r="C345" s="11" t="n">
        <v>2.342980845472623e-06</v>
      </c>
    </row>
    <row r="346">
      <c r="A346" t="inlineStr">
        <is>
          <t>Alarm_1236 - 1126-1B1 Last splice has not been detected</t>
        </is>
      </c>
      <c r="B346" s="10" t="n">
        <v>0.01015472222222222</v>
      </c>
      <c r="C346" s="11" t="n">
        <v>2.310993464315967e-06</v>
      </c>
    </row>
    <row r="347">
      <c r="A347" t="inlineStr">
        <is>
          <t>Alarm_0984</t>
        </is>
      </c>
      <c r="B347" s="10" t="n">
        <v>0.00974</v>
      </c>
      <c r="C347" s="11" t="n">
        <v>2.216611725053343e-06</v>
      </c>
    </row>
    <row r="348">
      <c r="A348" t="inlineStr">
        <is>
          <t>Alarm_0249</t>
        </is>
      </c>
      <c r="B348" s="10" t="n">
        <v>0.009604444444444445</v>
      </c>
      <c r="C348" s="11" t="n">
        <v>2.185762234925975e-06</v>
      </c>
    </row>
    <row r="349">
      <c r="A349" t="inlineStr">
        <is>
          <t>Alarm_0093</t>
        </is>
      </c>
      <c r="B349" s="10" t="n">
        <v>0.009464166666666668</v>
      </c>
      <c r="C349" s="11" t="n">
        <v>2.153838069937613e-06</v>
      </c>
    </row>
    <row r="350">
      <c r="A350" t="inlineStr">
        <is>
          <t>Alarm_1331</t>
        </is>
      </c>
      <c r="B350" s="10" t="n">
        <v>0.009182222222222222</v>
      </c>
      <c r="C350" s="11" t="n">
        <v>2.089673659119419e-06</v>
      </c>
    </row>
    <row r="351">
      <c r="A351" t="inlineStr">
        <is>
          <t>Alarm_1029 - 1076-17B2 Sealing force invalid: Check load cell individually</t>
        </is>
      </c>
      <c r="B351" s="10" t="n">
        <v>0.009181388888888888</v>
      </c>
      <c r="C351" s="11" t="n">
        <v>2.089484010614538e-06</v>
      </c>
    </row>
    <row r="352">
      <c r="A352" t="inlineStr">
        <is>
          <t>Alarm_0919</t>
        </is>
      </c>
      <c r="B352" s="10" t="n">
        <v>0.008909444444444444</v>
      </c>
      <c r="C352" s="11" t="n">
        <v>2.02759538185492e-06</v>
      </c>
    </row>
    <row r="353">
      <c r="A353" t="inlineStr">
        <is>
          <t>Alarm_0234</t>
        </is>
      </c>
      <c r="B353" s="10" t="n">
        <v>0.008903888888888888</v>
      </c>
      <c r="C353" s="11" t="n">
        <v>2.026331058489044e-06</v>
      </c>
    </row>
    <row r="354">
      <c r="A354" t="inlineStr">
        <is>
          <t>Warning_0514 - 1022-7B1 Temperature sealing tool A not in tolerance</t>
        </is>
      </c>
      <c r="B354" s="10" t="n">
        <v>0.008765</v>
      </c>
      <c r="C354" s="11" t="n">
        <v>1.994722974342151e-06</v>
      </c>
    </row>
    <row r="355">
      <c r="A355" t="inlineStr">
        <is>
          <t>Alarm_1944 - 1410 Temperature not reached Heating sealing head A bottom</t>
        </is>
      </c>
      <c r="B355" s="10" t="n">
        <v>0.008486944444444445</v>
      </c>
      <c r="C355" s="11" t="n">
        <v>1.93144358988007e-06</v>
      </c>
    </row>
    <row r="356">
      <c r="A356" t="inlineStr">
        <is>
          <t>Alarm_0847 - 1061-2QM3 Fault Sealing head A and B at the back closing pressure out of tolerance</t>
        </is>
      </c>
      <c r="B356" s="10" t="n">
        <v>0.008347222222222223</v>
      </c>
      <c r="C356" s="11" t="n">
        <v>1.899645857228296e-06</v>
      </c>
    </row>
    <row r="357">
      <c r="A357" t="inlineStr">
        <is>
          <t>Alarm_0982</t>
        </is>
      </c>
      <c r="B357" s="10" t="n">
        <v>0.00820611111111111</v>
      </c>
      <c r="C357" s="11" t="n">
        <v>1.867532043735052e-06</v>
      </c>
    </row>
    <row r="358">
      <c r="A358" t="inlineStr">
        <is>
          <t>Alarm_1435</t>
        </is>
      </c>
      <c r="B358" s="10" t="n">
        <v>0.007930833333333333</v>
      </c>
      <c r="C358" s="11" t="n">
        <v>1.804884820955909e-06</v>
      </c>
    </row>
    <row r="359">
      <c r="A359" t="inlineStr">
        <is>
          <t>Alarm_0983</t>
        </is>
      </c>
      <c r="B359" s="10" t="n">
        <v>0.007788888888888889</v>
      </c>
      <c r="C359" s="11" t="n">
        <v>1.772581358957784e-06</v>
      </c>
    </row>
    <row r="360">
      <c r="A360" t="inlineStr">
        <is>
          <t>Alarm_1355</t>
        </is>
      </c>
      <c r="B360" s="10" t="n">
        <v>0.007514722222222222</v>
      </c>
      <c r="C360" s="11" t="n">
        <v>1.710187000851816e-06</v>
      </c>
    </row>
    <row r="361">
      <c r="A361" t="inlineStr">
        <is>
          <t>Alarm_0817 - 1056-1M1 Belt steel cut has reached adjusted current limit</t>
        </is>
      </c>
      <c r="B361" s="10" t="n">
        <v>0.007372222222222223</v>
      </c>
      <c r="C361" s="11" t="n">
        <v>1.677757106517104e-06</v>
      </c>
    </row>
    <row r="362">
      <c r="A362" t="inlineStr">
        <is>
          <t>Fault_1657 - 1A02-5T2 Battery in external UPS must be checked</t>
        </is>
      </c>
      <c r="B362" s="10" t="n">
        <v>0.007234166666666667</v>
      </c>
      <c r="C362" s="11" t="n">
        <v>1.646338670875092e-06</v>
      </c>
    </row>
    <row r="363">
      <c r="A363" t="inlineStr">
        <is>
          <t>Alarm_1244</t>
        </is>
      </c>
      <c r="B363" s="10" t="n">
        <v>0.007233888888888889</v>
      </c>
      <c r="C363" s="11" t="n">
        <v>1.646275454706798e-06</v>
      </c>
    </row>
    <row r="364">
      <c r="A364" t="inlineStr">
        <is>
          <t>Alarm_1388</t>
        </is>
      </c>
      <c r="B364" s="10" t="n">
        <v>0.006955</v>
      </c>
      <c r="C364" s="11" t="n">
        <v>1.582806421739836e-06</v>
      </c>
    </row>
    <row r="365">
      <c r="A365" t="inlineStr">
        <is>
          <t>Alarm_1873</t>
        </is>
      </c>
      <c r="B365" s="10" t="n">
        <v>0.006817222222222222</v>
      </c>
      <c r="C365" s="11" t="n">
        <v>1.551451202266118e-06</v>
      </c>
    </row>
    <row r="366">
      <c r="A366" t="inlineStr">
        <is>
          <t>Alarm_1060</t>
        </is>
      </c>
      <c r="B366" s="10" t="n">
        <v>0.006817222222222222</v>
      </c>
      <c r="C366" s="11" t="n">
        <v>1.551451202266118e-06</v>
      </c>
    </row>
    <row r="367">
      <c r="A367" t="inlineStr">
        <is>
          <t>Alarm_1364</t>
        </is>
      </c>
      <c r="B367" s="10" t="n">
        <v>0.006681944444444444</v>
      </c>
      <c r="C367" s="11" t="n">
        <v>1.520664928307043e-06</v>
      </c>
    </row>
    <row r="368">
      <c r="A368" t="inlineStr">
        <is>
          <t>Alarm_1024 - 1076-16B1 Sealing force invalid: Check load cell individually</t>
        </is>
      </c>
      <c r="B368" s="10" t="n">
        <v>0.006538055555555556</v>
      </c>
      <c r="C368" s="11" t="n">
        <v>1.487918953130862e-06</v>
      </c>
    </row>
    <row r="369">
      <c r="A369" t="inlineStr">
        <is>
          <t>Alarm_1416</t>
        </is>
      </c>
      <c r="B369" s="10" t="n">
        <v>0.006400833333333333</v>
      </c>
      <c r="C369" s="11" t="n">
        <v>1.456690165993731e-06</v>
      </c>
    </row>
    <row r="370">
      <c r="A370" t="inlineStr">
        <is>
          <t>Warning_0089 - Imminent overload of a servo axis:</t>
        </is>
      </c>
      <c r="B370" s="10" t="n">
        <v>0.006259444444444444</v>
      </c>
      <c r="C370" s="11" t="n">
        <v>1.424513136332193e-06</v>
      </c>
    </row>
    <row r="371">
      <c r="A371" t="inlineStr">
        <is>
          <t>Alarm_1907 - 1408 Consecutive fault side B</t>
        </is>
      </c>
      <c r="B371" s="10" t="n">
        <v>0.006123333333333333</v>
      </c>
      <c r="C371" s="11" t="n">
        <v>1.393537213868238e-06</v>
      </c>
    </row>
    <row r="372">
      <c r="A372" t="inlineStr">
        <is>
          <t>Alarm_1196 - 1090-2B1 Station not closed</t>
        </is>
      </c>
      <c r="B372" s="10" t="n">
        <v>0.006122222222222222</v>
      </c>
      <c r="C372" s="11" t="n">
        <v>1.393284349195063e-06</v>
      </c>
    </row>
    <row r="373">
      <c r="A373" t="inlineStr">
        <is>
          <t>Alarm_1436</t>
        </is>
      </c>
      <c r="B373" s="10" t="n">
        <v>0.005983611111111111</v>
      </c>
      <c r="C373" s="11" t="n">
        <v>1.361739481216463e-06</v>
      </c>
    </row>
    <row r="374">
      <c r="A374" t="inlineStr">
        <is>
          <t>Fault_0983 - 1074 Valve left inserted but not found - Check for valve on web</t>
        </is>
      </c>
      <c r="B374" s="10" t="n">
        <v>0.005844444444444445</v>
      </c>
      <c r="C374" s="11" t="n">
        <v>1.330068180901276e-06</v>
      </c>
    </row>
    <row r="375">
      <c r="A375" t="inlineStr">
        <is>
          <t>Alarm_1946 - 1410 Temperature not reached Heating sealing head B bottom</t>
        </is>
      </c>
      <c r="B375" s="10" t="n">
        <v>0.005843611111111111</v>
      </c>
      <c r="C375" s="11" t="n">
        <v>1.329878532396394e-06</v>
      </c>
    </row>
    <row r="376">
      <c r="A376" t="inlineStr">
        <is>
          <t>Alarm_1028 - 1076-17B1 Sealing force invalid: Check load cell individually</t>
        </is>
      </c>
      <c r="B376" s="10" t="n">
        <v>0.005286944444444444</v>
      </c>
      <c r="C376" s="11" t="n">
        <v>1.203193331135646e-06</v>
      </c>
    </row>
    <row r="377">
      <c r="A377" t="inlineStr">
        <is>
          <t>Alarm_0018 - The format management is active</t>
        </is>
      </c>
      <c r="B377" s="10" t="n">
        <v>0.005286111111111111</v>
      </c>
      <c r="C377" s="11" t="n">
        <v>1.203003682630764e-06</v>
      </c>
    </row>
    <row r="378">
      <c r="A378" t="inlineStr">
        <is>
          <t>Alarm_0233 - At least one shift register enable has a read alarm</t>
        </is>
      </c>
      <c r="B378" s="10" t="n">
        <v>0.005150833333333333</v>
      </c>
      <c r="C378" s="11" t="n">
        <v>1.17221740867169e-06</v>
      </c>
    </row>
    <row r="379">
      <c r="A379" t="inlineStr">
        <is>
          <t>Alarm_0614 - 1036-2B4 Limit switch fault Sealing head B in home position</t>
        </is>
      </c>
      <c r="B379" s="10" t="n">
        <v>0.005148055555555555</v>
      </c>
      <c r="C379" s="11" t="n">
        <v>1.171585246988752e-06</v>
      </c>
    </row>
    <row r="380">
      <c r="A380" t="inlineStr">
        <is>
          <t>Alarm_1343</t>
        </is>
      </c>
      <c r="B380" s="10" t="n">
        <v>0.0050075</v>
      </c>
      <c r="C380" s="11" t="n">
        <v>1.139597865832096e-06</v>
      </c>
    </row>
    <row r="381">
      <c r="A381" t="inlineStr">
        <is>
          <t>Alarm_1123</t>
        </is>
      </c>
      <c r="B381" s="10" t="n">
        <v>0.005004444444444444</v>
      </c>
      <c r="C381" s="11" t="n">
        <v>1.138902487980864e-06</v>
      </c>
    </row>
    <row r="382">
      <c r="A382" t="inlineStr">
        <is>
          <t>Alarm_1230 - 1123-1B1 Consecutive error splice detection</t>
        </is>
      </c>
      <c r="B382" s="10" t="n">
        <v>0.004870277777777777</v>
      </c>
      <c r="C382" s="11" t="n">
        <v>1.108369078694965e-06</v>
      </c>
    </row>
    <row r="383">
      <c r="A383" t="inlineStr">
        <is>
          <t>Alarm_0745</t>
        </is>
      </c>
      <c r="B383" s="10" t="n">
        <v>0.004730555555555556</v>
      </c>
      <c r="C383" s="11" t="n">
        <v>1.07657134604319e-06</v>
      </c>
    </row>
    <row r="384">
      <c r="A384" t="inlineStr">
        <is>
          <t>Alarm_0858</t>
        </is>
      </c>
      <c r="B384" s="10" t="n">
        <v>0.004729722222222222</v>
      </c>
      <c r="C384" s="11" t="n">
        <v>1.076381697538309e-06</v>
      </c>
    </row>
    <row r="385">
      <c r="A385" t="inlineStr">
        <is>
          <t>Fault_0247 - 1A02-5T2 Battery in external UPS must be checked</t>
        </is>
      </c>
      <c r="B385" s="10" t="n">
        <v>0.004452777777777778</v>
      </c>
      <c r="C385" s="11" t="n">
        <v>1.013355177749404e-06</v>
      </c>
    </row>
    <row r="386">
      <c r="A386" t="inlineStr">
        <is>
          <t>Fault_1712 - 1A02-5T2 Battery in external UPS must be checked</t>
        </is>
      </c>
      <c r="B386" s="10" t="n">
        <v>0.004452777777777778</v>
      </c>
      <c r="C386" s="11" t="n">
        <v>1.013355177749404e-06</v>
      </c>
    </row>
    <row r="387">
      <c r="A387" t="inlineStr">
        <is>
          <t>Alarm_1285 - 1142-1T1 Web guiding not ready for operation</t>
        </is>
      </c>
      <c r="B387" s="10" t="n">
        <v>0.004451666666666666</v>
      </c>
      <c r="C387" s="11" t="n">
        <v>1.013102313076228e-06</v>
      </c>
    </row>
    <row r="388">
      <c r="A388" t="inlineStr">
        <is>
          <t>Warning_1366</t>
        </is>
      </c>
      <c r="B388" s="10" t="n">
        <v>0.004313055555555555</v>
      </c>
      <c r="C388" s="11" t="n">
        <v>9.815574450976288e-07</v>
      </c>
    </row>
    <row r="389">
      <c r="A389" t="inlineStr">
        <is>
          <t>Alarm_0918</t>
        </is>
      </c>
      <c r="B389" s="10" t="n">
        <v>0.004176944444444444</v>
      </c>
      <c r="C389" s="11" t="n">
        <v>9.505815226336732e-07</v>
      </c>
    </row>
    <row r="390">
      <c r="A390" t="inlineStr">
        <is>
          <t>Fault_0254 - MSM-Valve: At least one station takes longer than the set cycle time allows</t>
        </is>
      </c>
      <c r="B390" s="10" t="n">
        <v>0.004175</v>
      </c>
      <c r="C390" s="11" t="n">
        <v>9.501390094556168e-07</v>
      </c>
    </row>
    <row r="391">
      <c r="A391" t="inlineStr">
        <is>
          <t>Fault_1166 - 1086 Consecutive fault side A</t>
        </is>
      </c>
      <c r="B391" s="10" t="n">
        <v>0.004173888888888889</v>
      </c>
      <c r="C391" s="11" t="n">
        <v>9.498861447824417e-07</v>
      </c>
    </row>
    <row r="392">
      <c r="A392" t="inlineStr">
        <is>
          <t>Alarm_1127</t>
        </is>
      </c>
      <c r="B392" s="10" t="n">
        <v>0.004173333333333334</v>
      </c>
      <c r="C392" s="11" t="n">
        <v>9.497597124458541e-07</v>
      </c>
    </row>
    <row r="393">
      <c r="A393" t="inlineStr">
        <is>
          <t>Fault_1195 - 1090-2B1 Error Cylinder switch</t>
        </is>
      </c>
      <c r="B393" s="10" t="n">
        <v>0.004173055555555556</v>
      </c>
      <c r="C393" s="11" t="n">
        <v>9.496964962775603e-07</v>
      </c>
    </row>
    <row r="394">
      <c r="A394" t="inlineStr">
        <is>
          <t>Fault_0611 - 1036-2B1 Limit switch fault Sealing head A in working position</t>
        </is>
      </c>
      <c r="B394" s="10" t="n">
        <v>0.004173055555555555</v>
      </c>
      <c r="C394" s="11" t="n">
        <v>9.496964962775601e-07</v>
      </c>
    </row>
    <row r="395">
      <c r="A395" t="inlineStr">
        <is>
          <t>Fault_1638 - 1200 No products available</t>
        </is>
      </c>
      <c r="B395" s="10" t="n">
        <v>0.004173055555555555</v>
      </c>
      <c r="C395" s="11" t="n">
        <v>9.496964962775601e-07</v>
      </c>
    </row>
    <row r="396">
      <c r="A396" t="inlineStr">
        <is>
          <t>Alarm_1500 - 1174-2B1 Station not closed</t>
        </is>
      </c>
      <c r="B396" s="10" t="n">
        <v>0.004173055555555555</v>
      </c>
      <c r="C396" s="11" t="n">
        <v>9.496964962775601e-07</v>
      </c>
    </row>
    <row r="397">
      <c r="A397" t="inlineStr">
        <is>
          <t>Alarm_1722</t>
        </is>
      </c>
      <c r="B397" s="10" t="n">
        <v>0.004172777777777778</v>
      </c>
      <c r="C397" s="11" t="n">
        <v>9.496332801092665e-07</v>
      </c>
    </row>
    <row r="398">
      <c r="A398" t="inlineStr">
        <is>
          <t>Alarm_1433</t>
        </is>
      </c>
      <c r="B398" s="10" t="n">
        <v>0.004036388888888889</v>
      </c>
      <c r="C398" s="11" t="n">
        <v>9.185941414770171e-07</v>
      </c>
    </row>
    <row r="399">
      <c r="A399" t="inlineStr">
        <is>
          <t>Fault_1282 - 1141 Consecutive error guider, actuator or sensor out of range</t>
        </is>
      </c>
      <c r="B399" s="10" t="n">
        <v>0.004035</v>
      </c>
      <c r="C399" s="11" t="n">
        <v>9.182780606355481e-07</v>
      </c>
    </row>
    <row r="400">
      <c r="A400" t="inlineStr">
        <is>
          <t>Alarm_1312</t>
        </is>
      </c>
      <c r="B400" s="10" t="n">
        <v>0.004031388888888889</v>
      </c>
      <c r="C400" s="11" t="n">
        <v>9.17456250447729e-07</v>
      </c>
    </row>
    <row r="401">
      <c r="A401" t="inlineStr">
        <is>
          <t>Alarm_0646 - 1038-1B2 Transfer sealing end position at the back reached</t>
        </is>
      </c>
      <c r="B401" s="10" t="n">
        <v>0.003895277777777778</v>
      </c>
      <c r="C401" s="11" t="n">
        <v>8.864803279837734e-07</v>
      </c>
    </row>
    <row r="402">
      <c r="A402" t="inlineStr">
        <is>
          <t>Warning_1834 - 1074 Valve right inserted but not found - Check for valve on web</t>
        </is>
      </c>
      <c r="B402" s="10" t="n">
        <v>0.003756666666666666</v>
      </c>
      <c r="C402" s="11" t="n">
        <v>8.549354600051736e-07</v>
      </c>
    </row>
    <row r="403">
      <c r="A403" t="inlineStr">
        <is>
          <t>Alarm_0189 - 1A07-14K1 Camera PC job not loaded</t>
        </is>
      </c>
      <c r="B403" s="10" t="n">
        <v>0.003755555555555555</v>
      </c>
      <c r="C403" s="11" t="n">
        <v>8.546825953319985e-07</v>
      </c>
    </row>
    <row r="404">
      <c r="A404" t="inlineStr">
        <is>
          <t>Alarm_1367</t>
        </is>
      </c>
      <c r="B404" s="10" t="n">
        <v>0.00362</v>
      </c>
      <c r="C404" s="11" t="n">
        <v>8.238331052046305e-07</v>
      </c>
    </row>
    <row r="405">
      <c r="A405" t="inlineStr">
        <is>
          <t>Alarm_0679</t>
        </is>
      </c>
      <c r="B405" s="10" t="n">
        <v>0.003616111111111111</v>
      </c>
      <c r="C405" s="11" t="n">
        <v>8.229480788485176e-07</v>
      </c>
    </row>
    <row r="406">
      <c r="A406" t="inlineStr">
        <is>
          <t>Alarm_0878</t>
        </is>
      </c>
      <c r="B406" s="10" t="n">
        <v>0.003615833333333333</v>
      </c>
      <c r="C406" s="11" t="n">
        <v>8.228848626802238e-07</v>
      </c>
    </row>
    <row r="407">
      <c r="A407" t="inlineStr">
        <is>
          <t>Alarm_1379</t>
        </is>
      </c>
      <c r="B407" s="10" t="n">
        <v>0.003479166666666666</v>
      </c>
      <c r="C407" s="11" t="n">
        <v>7.917825078796806e-07</v>
      </c>
    </row>
    <row r="408">
      <c r="A408" t="inlineStr">
        <is>
          <t>Alarm_1909</t>
        </is>
      </c>
      <c r="B408" s="10" t="n">
        <v>0.003203333333333333</v>
      </c>
      <c r="C408" s="11" t="n">
        <v>7.290088527639502e-07</v>
      </c>
    </row>
    <row r="409">
      <c r="A409" t="inlineStr">
        <is>
          <t>Warning_0153 - 1406-6B1 Valve in pickup position A not present</t>
        </is>
      </c>
      <c r="B409" s="10" t="n">
        <v>0.003199166666666667</v>
      </c>
      <c r="C409" s="11" t="n">
        <v>7.280606102395435e-07</v>
      </c>
    </row>
    <row r="410">
      <c r="A410" t="inlineStr">
        <is>
          <t>Alarm_1035</t>
        </is>
      </c>
      <c r="B410" s="10" t="n">
        <v>0.003063888888888889</v>
      </c>
      <c r="C410" s="11" t="n">
        <v>6.972743362804693e-07</v>
      </c>
    </row>
    <row r="411">
      <c r="A411" t="inlineStr">
        <is>
          <t>Alarm_1039</t>
        </is>
      </c>
      <c r="B411" s="10" t="n">
        <v>0.003059166666666667</v>
      </c>
      <c r="C411" s="11" t="n">
        <v>6.961996614194749e-07</v>
      </c>
    </row>
    <row r="412">
      <c r="A412" t="inlineStr">
        <is>
          <t>Alarm_1166</t>
        </is>
      </c>
      <c r="B412" s="10" t="n">
        <v>0.002923333333333333</v>
      </c>
      <c r="C412" s="11" t="n">
        <v>6.65286955123813e-07</v>
      </c>
    </row>
    <row r="413">
      <c r="A413" t="inlineStr">
        <is>
          <t>Alarm_1128</t>
        </is>
      </c>
      <c r="B413" s="10" t="n">
        <v>0.002783333333333333</v>
      </c>
      <c r="C413" s="11" t="n">
        <v>6.334260063037445e-07</v>
      </c>
    </row>
    <row r="414">
      <c r="A414" t="inlineStr">
        <is>
          <t>Alarm_1863</t>
        </is>
      </c>
      <c r="B414" s="10" t="n">
        <v>0.0027825</v>
      </c>
      <c r="C414" s="11" t="n">
        <v>6.332363577988631e-07</v>
      </c>
    </row>
    <row r="415">
      <c r="A415" t="inlineStr">
        <is>
          <t>Fault_0249</t>
        </is>
      </c>
      <c r="B415" s="10" t="n">
        <v>0.0027825</v>
      </c>
      <c r="C415" s="11" t="n">
        <v>6.332363577988631e-07</v>
      </c>
    </row>
    <row r="416">
      <c r="A416" t="inlineStr">
        <is>
          <t>Alarm_0732</t>
        </is>
      </c>
      <c r="B416" s="10" t="n">
        <v>0.0027825</v>
      </c>
      <c r="C416" s="11" t="n">
        <v>6.332363577988631e-07</v>
      </c>
    </row>
    <row r="417">
      <c r="A417" t="inlineStr">
        <is>
          <t>Alarm_0678</t>
        </is>
      </c>
      <c r="B417" s="10" t="n">
        <v>0.002644722222222222</v>
      </c>
      <c r="C417" s="11" t="n">
        <v>6.018811383251449e-07</v>
      </c>
    </row>
    <row r="418">
      <c r="A418" t="inlineStr">
        <is>
          <t>Alarm_1075</t>
        </is>
      </c>
      <c r="B418" s="10" t="n">
        <v>0.002505277777777778</v>
      </c>
      <c r="C418" s="11" t="n">
        <v>5.701466218416638e-07</v>
      </c>
    </row>
    <row r="419">
      <c r="A419" t="inlineStr">
        <is>
          <t>Alarm_1240</t>
        </is>
      </c>
      <c r="B419" s="10" t="n">
        <v>0.002503333333333333</v>
      </c>
      <c r="C419" s="11" t="n">
        <v>5.697041086636073e-07</v>
      </c>
    </row>
    <row r="420">
      <c r="A420" t="inlineStr">
        <is>
          <t>Alarm_1786</t>
        </is>
      </c>
      <c r="B420" s="10" t="n">
        <v>0.0025025</v>
      </c>
      <c r="C420" s="11" t="n">
        <v>5.69514460158726e-07</v>
      </c>
    </row>
    <row r="421">
      <c r="A421" t="inlineStr">
        <is>
          <t>Fault_1872</t>
        </is>
      </c>
      <c r="B421" s="10" t="n">
        <v>0.002365</v>
      </c>
      <c r="C421" s="11" t="n">
        <v>5.382224568533014e-07</v>
      </c>
    </row>
    <row r="422">
      <c r="A422" t="inlineStr">
        <is>
          <t>Alarm_0044</t>
        </is>
      </c>
      <c r="B422" s="10" t="n">
        <v>0.0022275</v>
      </c>
      <c r="C422" s="11" t="n">
        <v>5.069304535478769e-07</v>
      </c>
    </row>
    <row r="423">
      <c r="A423" t="inlineStr">
        <is>
          <t>Alarm_1292</t>
        </is>
      </c>
      <c r="B423" s="10" t="n">
        <v>0.0022275</v>
      </c>
      <c r="C423" s="11" t="n">
        <v>5.069304535478769e-07</v>
      </c>
    </row>
    <row r="424">
      <c r="A424" t="inlineStr">
        <is>
          <t>Alarm_1297</t>
        </is>
      </c>
      <c r="B424" s="10" t="n">
        <v>0.002226111111111111</v>
      </c>
      <c r="C424" s="11" t="n">
        <v>5.06614372706408e-07</v>
      </c>
    </row>
    <row r="425">
      <c r="A425" t="inlineStr">
        <is>
          <t>Alarm_1874</t>
        </is>
      </c>
      <c r="B425" s="10" t="n">
        <v>0.002225555555555555</v>
      </c>
      <c r="C425" s="11" t="n">
        <v>5.064879403698204e-07</v>
      </c>
    </row>
    <row r="426">
      <c r="A426" t="inlineStr">
        <is>
          <t>Alarm_0733</t>
        </is>
      </c>
      <c r="B426" s="10" t="n">
        <v>0.002225</v>
      </c>
      <c r="C426" s="11" t="n">
        <v>5.063615080332329e-07</v>
      </c>
    </row>
    <row r="427">
      <c r="A427" t="inlineStr">
        <is>
          <t>Alarm_0507</t>
        </is>
      </c>
      <c r="B427" s="10" t="n">
        <v>0.002089166666666667</v>
      </c>
      <c r="C427" s="11" t="n">
        <v>4.754488017375711e-07</v>
      </c>
    </row>
    <row r="428">
      <c r="A428" t="inlineStr">
        <is>
          <t>Alarm_1712</t>
        </is>
      </c>
      <c r="B428" s="10" t="n">
        <v>0.0019475</v>
      </c>
      <c r="C428" s="11" t="n">
        <v>4.432085559077398e-07</v>
      </c>
    </row>
    <row r="429">
      <c r="A429" t="inlineStr">
        <is>
          <t>Alarm_1287</t>
        </is>
      </c>
      <c r="B429" s="10" t="n">
        <v>0.001947222222222222</v>
      </c>
      <c r="C429" s="11" t="n">
        <v>4.43145339739446e-07</v>
      </c>
    </row>
    <row r="430">
      <c r="A430" t="inlineStr">
        <is>
          <t>Alarm_0927</t>
        </is>
      </c>
      <c r="B430" s="10" t="n">
        <v>0.001946944444444444</v>
      </c>
      <c r="C430" s="11" t="n">
        <v>4.430821235711522e-07</v>
      </c>
    </row>
    <row r="431">
      <c r="A431" t="inlineStr">
        <is>
          <t>Alarm_0635</t>
        </is>
      </c>
      <c r="B431" s="10" t="n">
        <v>0.001946944444444444</v>
      </c>
      <c r="C431" s="11" t="n">
        <v>4.430821235711522e-07</v>
      </c>
    </row>
    <row r="432">
      <c r="A432" t="inlineStr">
        <is>
          <t>Alarm_1791</t>
        </is>
      </c>
      <c r="B432" s="10" t="n">
        <v>0.001946388888888889</v>
      </c>
      <c r="C432" s="11" t="n">
        <v>4.429556912345647e-07</v>
      </c>
    </row>
    <row r="433">
      <c r="A433" t="inlineStr">
        <is>
          <t>Alarm_0884</t>
        </is>
      </c>
      <c r="B433" s="10" t="n">
        <v>0.00167</v>
      </c>
      <c r="C433" s="11" t="n">
        <v>3.800556037822467e-07</v>
      </c>
    </row>
    <row r="434">
      <c r="A434" t="inlineStr">
        <is>
          <t>Alarm_0518</t>
        </is>
      </c>
      <c r="B434" s="10" t="n">
        <v>0.00167</v>
      </c>
      <c r="C434" s="11" t="n">
        <v>3.800556037822467e-07</v>
      </c>
    </row>
    <row r="435">
      <c r="A435" t="inlineStr">
        <is>
          <t>Alarm_1391</t>
        </is>
      </c>
      <c r="B435" s="10" t="n">
        <v>0.001668611111111111</v>
      </c>
      <c r="C435" s="11" t="n">
        <v>3.797395229407778e-07</v>
      </c>
    </row>
    <row r="436">
      <c r="A436" t="inlineStr">
        <is>
          <t>Alarm_1328</t>
        </is>
      </c>
      <c r="B436" s="10" t="n">
        <v>0.001668333333333333</v>
      </c>
      <c r="C436" s="11" t="n">
        <v>3.79676306772484e-07</v>
      </c>
    </row>
    <row r="437">
      <c r="A437" t="inlineStr">
        <is>
          <t>Alarm_1199</t>
        </is>
      </c>
      <c r="B437" s="10" t="n">
        <v>0.001666666666666667</v>
      </c>
      <c r="C437" s="11" t="n">
        <v>3.792970097627212e-07</v>
      </c>
    </row>
    <row r="438">
      <c r="A438" t="inlineStr">
        <is>
          <t>Alarm_0859</t>
        </is>
      </c>
      <c r="B438" s="10" t="n">
        <v>0.001529722222222222</v>
      </c>
      <c r="C438" s="11" t="n">
        <v>3.481314387938843e-07</v>
      </c>
    </row>
    <row r="439">
      <c r="A439" t="inlineStr">
        <is>
          <t>Alarm_1856</t>
        </is>
      </c>
      <c r="B439" s="10" t="n">
        <v>0.001391944444444444</v>
      </c>
      <c r="C439" s="11" t="n">
        <v>3.16776219320166e-07</v>
      </c>
    </row>
    <row r="440">
      <c r="A440" t="inlineStr">
        <is>
          <t>Alarm_1070</t>
        </is>
      </c>
      <c r="B440" s="10" t="n">
        <v>0.001391944444444444</v>
      </c>
      <c r="C440" s="11" t="n">
        <v>3.16776219320166e-07</v>
      </c>
    </row>
    <row r="441">
      <c r="A441" t="inlineStr">
        <is>
          <t>Alarm_1413</t>
        </is>
      </c>
      <c r="B441" s="10" t="n">
        <v>0.001391388888888889</v>
      </c>
      <c r="C441" s="11" t="n">
        <v>3.166497869835785e-07</v>
      </c>
    </row>
    <row r="442">
      <c r="A442" t="inlineStr">
        <is>
          <t>Alarm_0016</t>
        </is>
      </c>
      <c r="B442" s="10" t="n">
        <v>0.001252777777777778</v>
      </c>
      <c r="C442" s="11" t="n">
        <v>2.851049190049788e-07</v>
      </c>
    </row>
    <row r="443">
      <c r="A443" t="inlineStr">
        <is>
          <t>Alarm_0850</t>
        </is>
      </c>
      <c r="B443" s="10" t="n">
        <v>0.001251111111111111</v>
      </c>
      <c r="C443" s="11" t="n">
        <v>2.847256219952161e-07</v>
      </c>
    </row>
    <row r="444">
      <c r="A444" t="inlineStr">
        <is>
          <t>Alarm_1358</t>
        </is>
      </c>
      <c r="B444" s="10" t="n">
        <v>0.001113055555555555</v>
      </c>
      <c r="C444" s="11" t="n">
        <v>2.53307186353204e-07</v>
      </c>
    </row>
    <row r="445">
      <c r="A445" t="inlineStr">
        <is>
          <t>Alarm_0188</t>
        </is>
      </c>
      <c r="B445" s="10" t="n">
        <v>0.001113055555555555</v>
      </c>
      <c r="C445" s="11" t="n">
        <v>2.53307186353204e-07</v>
      </c>
    </row>
    <row r="446">
      <c r="A446" t="inlineStr">
        <is>
          <t>Warning_0514</t>
        </is>
      </c>
      <c r="B446" s="10" t="n">
        <v>0.001112777777777778</v>
      </c>
      <c r="C446" s="11" t="n">
        <v>2.532439701849103e-07</v>
      </c>
    </row>
    <row r="447">
      <c r="A447" t="inlineStr">
        <is>
          <t>Alarm_1228</t>
        </is>
      </c>
      <c r="B447" s="10" t="n">
        <v>0.001112777777777778</v>
      </c>
      <c r="C447" s="11" t="n">
        <v>2.532439701849102e-07</v>
      </c>
    </row>
    <row r="448">
      <c r="A448" t="inlineStr">
        <is>
          <t>Alarm_1805</t>
        </is>
      </c>
      <c r="B448" s="10" t="n">
        <v>0.001112777777777778</v>
      </c>
      <c r="C448" s="11" t="n">
        <v>2.532439701849102e-07</v>
      </c>
    </row>
    <row r="449">
      <c r="A449" t="inlineStr">
        <is>
          <t>Alarm_0746</t>
        </is>
      </c>
      <c r="B449" s="10" t="n">
        <v>0.001112777777777778</v>
      </c>
      <c r="C449" s="11" t="n">
        <v>2.532439701849102e-07</v>
      </c>
    </row>
    <row r="450">
      <c r="A450" t="inlineStr">
        <is>
          <t>Alarm_1072</t>
        </is>
      </c>
      <c r="B450" s="10" t="n">
        <v>0.001112222222222222</v>
      </c>
      <c r="C450" s="11" t="n">
        <v>2.531175378483227e-07</v>
      </c>
    </row>
    <row r="451">
      <c r="A451" t="inlineStr">
        <is>
          <t>Alarm_1307</t>
        </is>
      </c>
      <c r="B451" s="10" t="n">
        <v>0.001112222222222222</v>
      </c>
      <c r="C451" s="11" t="n">
        <v>2.531175378483227e-07</v>
      </c>
    </row>
    <row r="452">
      <c r="A452" t="inlineStr">
        <is>
          <t>Alarm_1950</t>
        </is>
      </c>
      <c r="B452" s="10" t="n">
        <v>0.001111944444444444</v>
      </c>
      <c r="C452" s="11" t="n">
        <v>2.530543216800289e-07</v>
      </c>
    </row>
    <row r="453">
      <c r="A453" t="inlineStr">
        <is>
          <t>Alarm_0931</t>
        </is>
      </c>
      <c r="B453" s="10" t="n">
        <v>0.001111944444444444</v>
      </c>
      <c r="C453" s="11" t="n">
        <v>2.530543216800289e-07</v>
      </c>
    </row>
    <row r="454">
      <c r="A454" t="inlineStr">
        <is>
          <t>Alarm_0968</t>
        </is>
      </c>
      <c r="B454" s="10" t="n">
        <v>0.0009722222222222222</v>
      </c>
      <c r="C454" s="11" t="n">
        <v>2.212565890282541e-07</v>
      </c>
    </row>
    <row r="455">
      <c r="A455" t="inlineStr">
        <is>
          <t>Alarm_1638</t>
        </is>
      </c>
      <c r="B455" s="10" t="n">
        <v>0.0008366666666666668</v>
      </c>
      <c r="C455" s="11" t="n">
        <v>1.904070989008861e-07</v>
      </c>
    </row>
    <row r="456">
      <c r="A456" t="inlineStr">
        <is>
          <t>Alarm_1124</t>
        </is>
      </c>
      <c r="B456" s="10" t="n">
        <v>0.0008358333333333333</v>
      </c>
      <c r="C456" s="11" t="n">
        <v>1.902174503960047e-07</v>
      </c>
    </row>
    <row r="457">
      <c r="A457" t="inlineStr">
        <is>
          <t>Alarm_1246</t>
        </is>
      </c>
      <c r="B457" s="10" t="n">
        <v>0.0008355555555555555</v>
      </c>
      <c r="C457" s="11" t="n">
        <v>1.901542342277109e-07</v>
      </c>
    </row>
    <row r="458">
      <c r="A458" t="inlineStr">
        <is>
          <t>Alarm_0420</t>
        </is>
      </c>
      <c r="B458" s="10" t="n">
        <v>0.0008355555555555555</v>
      </c>
      <c r="C458" s="11" t="n">
        <v>1.901542342277109e-07</v>
      </c>
    </row>
    <row r="459">
      <c r="A459" t="inlineStr">
        <is>
          <t>Alarm_0811</t>
        </is>
      </c>
      <c r="B459" s="10" t="n">
        <v>0.0008352777777777778</v>
      </c>
      <c r="C459" s="11" t="n">
        <v>1.900910180594171e-07</v>
      </c>
    </row>
    <row r="460">
      <c r="A460" t="inlineStr">
        <is>
          <t>Alarm_1864</t>
        </is>
      </c>
      <c r="B460" s="10" t="n">
        <v>0.0008344444444444445</v>
      </c>
      <c r="C460" s="11" t="n">
        <v>1.899013695545358e-07</v>
      </c>
    </row>
    <row r="461">
      <c r="A461" t="inlineStr">
        <is>
          <t>Alarm_0095</t>
        </is>
      </c>
      <c r="B461" s="10" t="n">
        <v>0.0008341666666666667</v>
      </c>
      <c r="C461" s="11" t="n">
        <v>1.89838153386242e-07</v>
      </c>
    </row>
    <row r="462">
      <c r="A462" t="inlineStr">
        <is>
          <t>Alarm_1854</t>
        </is>
      </c>
      <c r="B462" s="10" t="n">
        <v>0.0008341666666666667</v>
      </c>
      <c r="C462" s="11" t="n">
        <v>1.89838153386242e-07</v>
      </c>
    </row>
    <row r="463">
      <c r="A463" t="inlineStr">
        <is>
          <t>Alarm_1637</t>
        </is>
      </c>
      <c r="B463" s="10" t="n">
        <v>0.0006952777777777777</v>
      </c>
      <c r="C463" s="11" t="n">
        <v>1.582300692393486e-07</v>
      </c>
    </row>
    <row r="464">
      <c r="A464" t="inlineStr">
        <is>
          <t>Alarm_1282</t>
        </is>
      </c>
      <c r="B464" s="10" t="n">
        <v>0.0006944444444444445</v>
      </c>
      <c r="C464" s="11" t="n">
        <v>1.580404207344672e-07</v>
      </c>
    </row>
    <row r="465">
      <c r="A465" t="inlineStr">
        <is>
          <t>Alarm_1855</t>
        </is>
      </c>
      <c r="B465" s="10" t="n">
        <v>0.0005572222222222222</v>
      </c>
      <c r="C465" s="11" t="n">
        <v>1.268116335973365e-07</v>
      </c>
    </row>
    <row r="466">
      <c r="A466" t="inlineStr">
        <is>
          <t>Alarm_1218</t>
        </is>
      </c>
      <c r="B466" s="10" t="n">
        <v>0.0005572222222222222</v>
      </c>
      <c r="C466" s="11" t="n">
        <v>1.268116335973365e-07</v>
      </c>
    </row>
    <row r="467">
      <c r="A467" t="inlineStr">
        <is>
          <t>Alarm_1045</t>
        </is>
      </c>
      <c r="B467" s="10" t="n">
        <v>0.0005572222222222222</v>
      </c>
      <c r="C467" s="11" t="n">
        <v>1.268116335973365e-07</v>
      </c>
    </row>
    <row r="468">
      <c r="A468" t="inlineStr">
        <is>
          <t>Alarm_0005</t>
        </is>
      </c>
      <c r="B468" s="10" t="n">
        <v>0.0005566666666666667</v>
      </c>
      <c r="C468" s="11" t="n">
        <v>1.266852012607489e-07</v>
      </c>
    </row>
    <row r="469">
      <c r="A469" t="inlineStr">
        <is>
          <t>Warning_1965</t>
        </is>
      </c>
      <c r="B469" s="10" t="n">
        <v>0.0005566666666666667</v>
      </c>
      <c r="C469" s="11" t="n">
        <v>1.266852012607489e-07</v>
      </c>
    </row>
    <row r="470">
      <c r="A470" t="inlineStr">
        <is>
          <t>Alarm_0856</t>
        </is>
      </c>
      <c r="B470" s="10" t="n">
        <v>0.0005566666666666667</v>
      </c>
      <c r="C470" s="11" t="n">
        <v>1.266852012607489e-07</v>
      </c>
    </row>
    <row r="471">
      <c r="A471" t="inlineStr">
        <is>
          <t>Alarm_0253</t>
        </is>
      </c>
      <c r="B471" s="10" t="n">
        <v>0.0005566666666666667</v>
      </c>
      <c r="C471" s="11" t="n">
        <v>1.266852012607489e-07</v>
      </c>
    </row>
    <row r="472">
      <c r="A472" t="inlineStr">
        <is>
          <t>Alarm_1043</t>
        </is>
      </c>
      <c r="B472" s="10" t="n">
        <v>0.0005563888888888888</v>
      </c>
      <c r="C472" s="11" t="n">
        <v>1.266219850924551e-07</v>
      </c>
    </row>
    <row r="473">
      <c r="A473" t="inlineStr">
        <is>
          <t>Alarm_0484</t>
        </is>
      </c>
      <c r="B473" s="10" t="n">
        <v>0.0005563888888888888</v>
      </c>
      <c r="C473" s="11" t="n">
        <v>1.266219850924551e-07</v>
      </c>
    </row>
    <row r="474">
      <c r="A474" t="inlineStr">
        <is>
          <t>Alarm_1906</t>
        </is>
      </c>
      <c r="B474" s="10" t="n">
        <v>0.0005563888888888888</v>
      </c>
      <c r="C474" s="11" t="n">
        <v>1.266219850924551e-07</v>
      </c>
    </row>
    <row r="475">
      <c r="A475" t="inlineStr">
        <is>
          <t>Alarm_1242</t>
        </is>
      </c>
      <c r="B475" s="10" t="n">
        <v>0.0005563888888888888</v>
      </c>
      <c r="C475" s="11" t="n">
        <v>1.266219850924551e-07</v>
      </c>
    </row>
    <row r="476">
      <c r="A476" t="inlineStr">
        <is>
          <t>Alarm_1047</t>
        </is>
      </c>
      <c r="B476" s="10" t="n">
        <v>0.0005563888888888888</v>
      </c>
      <c r="C476" s="11" t="n">
        <v>1.266219850924551e-07</v>
      </c>
    </row>
    <row r="477">
      <c r="A477" t="inlineStr">
        <is>
          <t>Alarm_1800</t>
        </is>
      </c>
      <c r="B477" s="10" t="n">
        <v>0.0005555555555555556</v>
      </c>
      <c r="C477" s="11" t="n">
        <v>1.264323365875738e-07</v>
      </c>
    </row>
    <row r="478">
      <c r="A478" t="inlineStr">
        <is>
          <t>Alarm_1232</t>
        </is>
      </c>
      <c r="B478" s="10" t="n">
        <v>0.0005555555555555556</v>
      </c>
      <c r="C478" s="11" t="n">
        <v>1.264323365875738e-07</v>
      </c>
    </row>
    <row r="479">
      <c r="A479" t="inlineStr">
        <is>
          <t>Alarm_0293</t>
        </is>
      </c>
      <c r="B479" s="10" t="n">
        <v>0.0005555555555555556</v>
      </c>
      <c r="C479" s="11" t="n">
        <v>1.264323365875738e-07</v>
      </c>
    </row>
    <row r="480">
      <c r="A480" t="inlineStr">
        <is>
          <t>Alarm_0037</t>
        </is>
      </c>
      <c r="B480" s="10" t="n">
        <v>0.0004166666666666667</v>
      </c>
      <c r="C480" s="11" t="n">
        <v>9.482425244068032e-08</v>
      </c>
    </row>
    <row r="481">
      <c r="A481" t="inlineStr">
        <is>
          <t>Alarm_1948</t>
        </is>
      </c>
      <c r="B481" s="10" t="n">
        <v>0.0002788888888888889</v>
      </c>
      <c r="C481" s="11" t="n">
        <v>6.346903296696203e-08</v>
      </c>
    </row>
    <row r="482">
      <c r="A482" t="inlineStr">
        <is>
          <t>Alarm_0470</t>
        </is>
      </c>
      <c r="B482" s="10" t="n">
        <v>0.0002788888888888889</v>
      </c>
      <c r="C482" s="11" t="n">
        <v>6.346903296696203e-08</v>
      </c>
    </row>
    <row r="483">
      <c r="A483" t="inlineStr">
        <is>
          <t>Alarm_1678 - 1A07-1B1 Main air valve basic machine pressure not present</t>
        </is>
      </c>
      <c r="B483" s="10" t="n">
        <v>0.0002788888888888889</v>
      </c>
      <c r="C483" s="11" t="n">
        <v>6.346903296696203e-08</v>
      </c>
    </row>
    <row r="484">
      <c r="A484" t="inlineStr">
        <is>
          <t>Alarm_0615</t>
        </is>
      </c>
      <c r="B484" s="10" t="n">
        <v>0.0002788888888888889</v>
      </c>
      <c r="C484" s="11" t="n">
        <v>6.346903296696203e-08</v>
      </c>
    </row>
    <row r="485">
      <c r="A485" t="inlineStr">
        <is>
          <t>Alarm_0542</t>
        </is>
      </c>
      <c r="B485" s="10" t="n">
        <v>0.0002788888888888889</v>
      </c>
      <c r="C485" s="11" t="n">
        <v>6.346903296696203e-08</v>
      </c>
    </row>
    <row r="486">
      <c r="A486" t="inlineStr">
        <is>
          <t>Alarm_1852</t>
        </is>
      </c>
      <c r="B486" s="10" t="n">
        <v>0.0002788888888888889</v>
      </c>
      <c r="C486" s="11" t="n">
        <v>6.346903296696203e-08</v>
      </c>
    </row>
    <row r="487">
      <c r="A487" t="inlineStr">
        <is>
          <t>Alarm_0488</t>
        </is>
      </c>
      <c r="B487" s="10" t="n">
        <v>0.0002786111111111111</v>
      </c>
      <c r="C487" s="11" t="n">
        <v>6.340581679866824e-08</v>
      </c>
    </row>
    <row r="488">
      <c r="A488" t="inlineStr">
        <is>
          <t>Alarm_0613</t>
        </is>
      </c>
      <c r="B488" s="10" t="n">
        <v>0.0002786111111111111</v>
      </c>
      <c r="C488" s="11" t="n">
        <v>6.340581679866824e-08</v>
      </c>
    </row>
    <row r="489">
      <c r="A489" t="inlineStr">
        <is>
          <t>Alarm_1862</t>
        </is>
      </c>
      <c r="B489" s="10" t="n">
        <v>0.0002786111111111111</v>
      </c>
      <c r="C489" s="11" t="n">
        <v>6.340581679866824e-08</v>
      </c>
    </row>
    <row r="490">
      <c r="A490" t="inlineStr">
        <is>
          <t>Alarm_1900</t>
        </is>
      </c>
      <c r="B490" s="10" t="n">
        <v>0.0002786111111111111</v>
      </c>
      <c r="C490" s="11" t="n">
        <v>6.340581679866824e-08</v>
      </c>
    </row>
    <row r="491">
      <c r="A491" t="inlineStr">
        <is>
          <t>Alarm_1839</t>
        </is>
      </c>
      <c r="B491" s="10" t="n">
        <v>0.0002786111111111111</v>
      </c>
      <c r="C491" s="11" t="n">
        <v>6.340581679866824e-08</v>
      </c>
    </row>
    <row r="492">
      <c r="A492" t="inlineStr">
        <is>
          <t>Alarm_1035 - The consecutive fault function is switched off</t>
        </is>
      </c>
      <c r="B492" s="10" t="n">
        <v>0.0002786111111111111</v>
      </c>
      <c r="C492" s="11" t="n">
        <v>6.340581679866824e-08</v>
      </c>
    </row>
    <row r="493">
      <c r="A493" t="inlineStr">
        <is>
          <t>Alarm_1710</t>
        </is>
      </c>
      <c r="B493" s="10" t="n">
        <v>0.0002786111111111111</v>
      </c>
      <c r="C493" s="11" t="n">
        <v>6.340581679866824e-08</v>
      </c>
    </row>
    <row r="494">
      <c r="A494" t="inlineStr">
        <is>
          <t>Alarm_1157</t>
        </is>
      </c>
      <c r="B494" s="10" t="n">
        <v>0.0002786111111111111</v>
      </c>
      <c r="C494" s="11" t="n">
        <v>6.340581679866824e-08</v>
      </c>
    </row>
    <row r="495">
      <c r="A495" t="inlineStr">
        <is>
          <t>Alarm_1305</t>
        </is>
      </c>
      <c r="B495" s="10" t="n">
        <v>0.0002786111111111111</v>
      </c>
      <c r="C495" s="11" t="n">
        <v>6.340581679866824e-08</v>
      </c>
    </row>
    <row r="496">
      <c r="A496" t="inlineStr">
        <is>
          <t>Alarm_0457</t>
        </is>
      </c>
      <c r="B496" s="10" t="n">
        <v>0.0002786111111111111</v>
      </c>
      <c r="C496" s="11" t="n">
        <v>6.340581679866824e-08</v>
      </c>
    </row>
    <row r="497">
      <c r="A497" t="inlineStr">
        <is>
          <t>Alarm_0050</t>
        </is>
      </c>
      <c r="B497" s="10" t="n">
        <v>0.0002786111111111111</v>
      </c>
      <c r="C497" s="11" t="n">
        <v>6.340581679866824e-08</v>
      </c>
    </row>
    <row r="498">
      <c r="A498" t="inlineStr">
        <is>
          <t>Alarm_0187</t>
        </is>
      </c>
      <c r="B498" s="10" t="n">
        <v>0.0002786111111111111</v>
      </c>
      <c r="C498" s="11" t="n">
        <v>6.340581679866824e-08</v>
      </c>
    </row>
    <row r="499">
      <c r="A499" t="inlineStr">
        <is>
          <t>Alarm_1236</t>
        </is>
      </c>
      <c r="B499" s="10" t="n">
        <v>0.0002786111111111111</v>
      </c>
      <c r="C499" s="11" t="n">
        <v>6.340581679866824e-08</v>
      </c>
    </row>
    <row r="500">
      <c r="A500" t="inlineStr">
        <is>
          <t>Alarm_0705 - 1A02-5T2 Battery in external UPS must be checked</t>
        </is>
      </c>
      <c r="B500" s="10" t="n">
        <v>0.0002786111111111111</v>
      </c>
      <c r="C500" s="11" t="n">
        <v>6.340581679866824e-08</v>
      </c>
    </row>
    <row r="501">
      <c r="A501" t="inlineStr">
        <is>
          <t>Alarm_1940</t>
        </is>
      </c>
      <c r="B501" s="10" t="n">
        <v>0.0002786111111111111</v>
      </c>
      <c r="C501" s="11" t="n">
        <v>6.340581679866824e-08</v>
      </c>
    </row>
    <row r="502">
      <c r="A502" t="inlineStr">
        <is>
          <t>Alarm_1871 - 1400-3B1 Infeed valve maximum product level permanently not reached</t>
        </is>
      </c>
      <c r="B502" s="10" t="n">
        <v>0.0002786111111111111</v>
      </c>
      <c r="C502" s="11" t="n">
        <v>6.340581679866824e-08</v>
      </c>
    </row>
    <row r="503">
      <c r="A503" t="inlineStr">
        <is>
          <t>Alarm_1399</t>
        </is>
      </c>
      <c r="B503" s="10" t="n">
        <v>0.0002786111111111111</v>
      </c>
      <c r="C503" s="11" t="n">
        <v>6.340581679866824e-08</v>
      </c>
    </row>
    <row r="504">
      <c r="A504" t="inlineStr">
        <is>
          <t>Alarm_0861</t>
        </is>
      </c>
      <c r="B504" s="10" t="n">
        <v>0.0002786111111111111</v>
      </c>
      <c r="C504" s="11" t="n">
        <v>6.340581679866824e-08</v>
      </c>
    </row>
    <row r="505">
      <c r="A505" t="inlineStr">
        <is>
          <t>Alarm_1801</t>
        </is>
      </c>
      <c r="B505" s="10" t="n">
        <v>0.0002786111111111111</v>
      </c>
      <c r="C505" s="11" t="n">
        <v>6.340581679866824e-08</v>
      </c>
    </row>
    <row r="506">
      <c r="A506" t="inlineStr">
        <is>
          <t>Alarm_1841</t>
        </is>
      </c>
      <c r="B506" s="10" t="n">
        <v>0.0002786111111111111</v>
      </c>
      <c r="C506" s="11" t="n">
        <v>6.340581679866824e-08</v>
      </c>
    </row>
    <row r="507">
      <c r="A507" t="inlineStr">
        <is>
          <t>Warning_0248 - 1400-3B1 Infeed valve maximum product level permanently not reached</t>
        </is>
      </c>
      <c r="B507" s="10" t="n">
        <v>0.0002777777777777778</v>
      </c>
      <c r="C507" s="11" t="n">
        <v>6.321616829378688e-08</v>
      </c>
    </row>
    <row r="508">
      <c r="A508" t="inlineStr">
        <is>
          <t>Warning_0248</t>
        </is>
      </c>
      <c r="B508" s="10" t="n">
        <v>0.0002777777777777778</v>
      </c>
      <c r="C508" s="11" t="n">
        <v>6.321616829378688e-08</v>
      </c>
    </row>
    <row r="509">
      <c r="A509" t="inlineStr">
        <is>
          <t>Alarm_1290</t>
        </is>
      </c>
      <c r="B509" s="10" t="n">
        <v>0.0002777777777777778</v>
      </c>
      <c r="C509" s="11" t="n">
        <v>6.321616829378688e-08</v>
      </c>
    </row>
    <row r="510">
      <c r="A510" t="inlineStr">
        <is>
          <t>Alarm_1302</t>
        </is>
      </c>
      <c r="B510" s="10" t="n">
        <v>0.0002777777777777778</v>
      </c>
      <c r="C510" s="11" t="n">
        <v>6.321616829378688e-08</v>
      </c>
    </row>
    <row r="511">
      <c r="A511" t="inlineStr">
        <is>
          <t>Alarm_0471</t>
        </is>
      </c>
      <c r="B511" s="10" t="n">
        <v>0.0002777777777777778</v>
      </c>
      <c r="C511" s="11" t="n">
        <v>6.321616829378688e-08</v>
      </c>
    </row>
    <row r="512">
      <c r="A512" t="inlineStr">
        <is>
          <t>Alarm_0508</t>
        </is>
      </c>
      <c r="B512" s="10" t="n">
        <v>0.0002777777777777778</v>
      </c>
      <c r="C512" s="11" t="n">
        <v>6.321616829378688e-08</v>
      </c>
    </row>
    <row r="513">
      <c r="A513" t="inlineStr">
        <is>
          <t>Alarm_1028</t>
        </is>
      </c>
      <c r="B513" s="10" t="n">
        <v>0.0002777777777777778</v>
      </c>
      <c r="C513" s="11" t="n">
        <v>6.321616829378688e-08</v>
      </c>
    </row>
    <row r="514">
      <c r="A514" t="inlineStr">
        <is>
          <t>Alarm_1682</t>
        </is>
      </c>
      <c r="B514" s="10" t="n">
        <v>0.0002777777777777778</v>
      </c>
      <c r="C514" s="11" t="n">
        <v>6.321616829378688e-08</v>
      </c>
    </row>
    <row r="515">
      <c r="A515" t="inlineStr">
        <is>
          <t>Alarm_1136</t>
        </is>
      </c>
      <c r="B515" s="10" t="n">
        <v>0.0002777777777777778</v>
      </c>
      <c r="C515" s="11" t="n">
        <v>6.321616829378688e-08</v>
      </c>
    </row>
    <row r="516">
      <c r="A516" t="inlineStr">
        <is>
          <t>Fault_1871</t>
        </is>
      </c>
      <c r="B516" s="10" t="n">
        <v>0.0002777777777777778</v>
      </c>
      <c r="C516" s="11" t="n">
        <v>6.321616829378688e-08</v>
      </c>
    </row>
    <row r="517">
      <c r="A517" t="inlineStr">
        <is>
          <t>Alarm_0390</t>
        </is>
      </c>
      <c r="B517" s="10" t="n">
        <v>0.0002777777777777778</v>
      </c>
      <c r="C517" s="11" t="n">
        <v>6.321616829378688e-08</v>
      </c>
    </row>
    <row r="518">
      <c r="A518" t="inlineStr">
        <is>
          <t>Alarm_1850</t>
        </is>
      </c>
      <c r="B518" s="10" t="n">
        <v>0.0002777777777777778</v>
      </c>
      <c r="C518" s="11" t="n">
        <v>6.321616829378688e-08</v>
      </c>
    </row>
    <row r="519">
      <c r="A519" t="inlineStr">
        <is>
          <t>Alarm_1840</t>
        </is>
      </c>
      <c r="B519" s="10" t="n">
        <v>0.0002777777777777778</v>
      </c>
      <c r="C519" s="11" t="n">
        <v>6.321616829378688e-08</v>
      </c>
    </row>
    <row r="520">
      <c r="A520" t="inlineStr">
        <is>
          <t>Alarm_1897</t>
        </is>
      </c>
      <c r="B520" s="10" t="n">
        <v>0.0002777777777777778</v>
      </c>
      <c r="C520" s="11" t="n">
        <v>6.321616829378688e-08</v>
      </c>
    </row>
    <row r="521">
      <c r="A521" t="inlineStr">
        <is>
          <t>Alarm_0908</t>
        </is>
      </c>
      <c r="B521" s="10" t="n">
        <v>0.0002777777777777778</v>
      </c>
      <c r="C521" s="11" t="n">
        <v>6.321616829378688e-08</v>
      </c>
    </row>
    <row r="522">
      <c r="A522" t="inlineStr">
        <is>
          <t>Alarm_1416 - 1400-1T1 Infeedbelt empty</t>
        </is>
      </c>
      <c r="B522" s="10" t="n">
        <v>0.0002777777777777778</v>
      </c>
      <c r="C522" s="11" t="n">
        <v>6.321616829378688e-08</v>
      </c>
    </row>
    <row r="523">
      <c r="A523" t="inlineStr">
        <is>
          <t>Alarm_1930</t>
        </is>
      </c>
      <c r="B523" s="10" t="n">
        <v>0.0002777777777777778</v>
      </c>
      <c r="C523" s="11" t="n">
        <v>6.321616829378688e-08</v>
      </c>
    </row>
    <row r="524">
      <c r="A524" t="inlineStr">
        <is>
          <t>Alarm_1327</t>
        </is>
      </c>
      <c r="B524" s="10" t="n">
        <v>0.0002777777777777778</v>
      </c>
      <c r="C524" s="11" t="n">
        <v>6.321616829378688e-08</v>
      </c>
    </row>
    <row r="525">
      <c r="A525" t="inlineStr">
        <is>
          <t>Alarm_1224</t>
        </is>
      </c>
      <c r="B525" s="10" t="n">
        <v>0.0002777777777777778</v>
      </c>
      <c r="C525" s="11" t="n">
        <v>6.321616829378688e-08</v>
      </c>
    </row>
    <row r="526">
      <c r="A526" t="inlineStr">
        <is>
          <t>Alarm_1339</t>
        </is>
      </c>
      <c r="B526" s="10" t="n">
        <v>0.0002777777777777778</v>
      </c>
      <c r="C526" s="11" t="n">
        <v>6.321616829378688e-08</v>
      </c>
    </row>
    <row r="527">
      <c r="A527" t="inlineStr">
        <is>
          <t>Alarm_0705 - 1406-6B2 Valve in pickup position B not present</t>
        </is>
      </c>
      <c r="B527" s="10" t="n">
        <v>0.0002777777777777778</v>
      </c>
      <c r="C527" s="11" t="n">
        <v>6.321616829378688e-08</v>
      </c>
    </row>
    <row r="528">
      <c r="A528" t="inlineStr">
        <is>
          <t>Warning_1366 - 1406-6B1 Valve in pickup position A not present</t>
        </is>
      </c>
      <c r="B528" s="10" t="n">
        <v>0.0002777777777777778</v>
      </c>
      <c r="C528" s="11" t="n">
        <v>6.321616829378688e-08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2026-10-05T13:42:45Z</dcterms:created>
  <dcterms:modified xsi:type="dcterms:W3CDTF">2026-10-05T13:42:45Z</dcterms:modified>
</cp:coreProperties>
</file>